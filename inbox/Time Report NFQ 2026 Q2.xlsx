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t Total - Ofertas Proyec" sheetId="1" r:id="rId5"/>
    <sheet state="visible" name="Imputación TR - Proyecto-Quince" sheetId="2" r:id="rId6"/>
    <sheet state="visible" name="Imputación TR - Quincena - Pers" sheetId="3" r:id="rId7"/>
    <sheet state="visible" name="CatalogDesplegable" sheetId="4" r:id="rId8"/>
  </sheets>
  <definedNames/>
  <calcPr/>
</workbook>
</file>

<file path=xl/sharedStrings.xml><?xml version="1.0" encoding="utf-8"?>
<sst xmlns="http://schemas.openxmlformats.org/spreadsheetml/2006/main" count="1153" uniqueCount="207">
  <si>
    <t>SDATOOL</t>
  </si>
  <si>
    <t>Proyecto</t>
  </si>
  <si>
    <t>Feature</t>
  </si>
  <si>
    <t>Horas oferta a incurrir</t>
  </si>
  <si>
    <t>Horas imputadas AR (acumulado)</t>
  </si>
  <si>
    <t>Horas por imputar AR</t>
  </si>
  <si>
    <t>Horas incurridas</t>
  </si>
  <si>
    <t>Horas por incurrir</t>
  </si>
  <si>
    <t>Horas Pendientes de Ejecutar / Bolsa (a consumir)</t>
  </si>
  <si>
    <t>Horas bolsa (consumidas)</t>
  </si>
  <si>
    <t>Horas bolsa (pte consumir)</t>
  </si>
  <si>
    <t>SDATOOL-34546</t>
  </si>
  <si>
    <t>Calypso IV. Migración Abaco a Calypso F4 Swaps.</t>
  </si>
  <si>
    <t>CIBRDR-953</t>
  </si>
  <si>
    <t>Calypso V. Migración productos estructurados F5.</t>
  </si>
  <si>
    <t>CIBRDR-954</t>
  </si>
  <si>
    <t>SDATOOL-54626</t>
  </si>
  <si>
    <t>Institutional Clients Transversal Tools Plan (eClients)</t>
  </si>
  <si>
    <t>CIBRDR-748</t>
  </si>
  <si>
    <t>SDATOOL-53765</t>
  </si>
  <si>
    <t>Marca Emisiones MMOO</t>
  </si>
  <si>
    <t>NA</t>
  </si>
  <si>
    <t>SDATOOL-49629</t>
  </si>
  <si>
    <t>BSI 2.0. Cargador genérico Legal Agreements</t>
  </si>
  <si>
    <t>CIBRDR-762</t>
  </si>
  <si>
    <t>SDATOOL-46848</t>
  </si>
  <si>
    <t>Institutional Clients. Onboarding.</t>
  </si>
  <si>
    <t>CIBRDR-718</t>
  </si>
  <si>
    <t>SDATOOL-49742</t>
  </si>
  <si>
    <t>BRS. Fase 2. Colas MQ + Control M</t>
  </si>
  <si>
    <t>CIBRDR-932</t>
  </si>
  <si>
    <t>CIBRDR-933</t>
  </si>
  <si>
    <t>CIBRDR-934</t>
  </si>
  <si>
    <t>CIBRDR-908</t>
  </si>
  <si>
    <t>SDATOOL-51125</t>
  </si>
  <si>
    <t>Migración FX y MM. Apagado Midas - CLS</t>
  </si>
  <si>
    <t>CIBRDR-990</t>
  </si>
  <si>
    <t>Migración FX y MM. Apagado Midas - Operaciones</t>
  </si>
  <si>
    <t>CIBRDR-766</t>
  </si>
  <si>
    <t>SDATOOL-42226</t>
  </si>
  <si>
    <t>Strategic Boost Alta y Mantenimiento de Emisiones y Emisores.</t>
  </si>
  <si>
    <t>CIBRDR-887</t>
  </si>
  <si>
    <t>CIBRDR-888</t>
  </si>
  <si>
    <t>SDATOOL-51067</t>
  </si>
  <si>
    <t>CTM Colombia</t>
  </si>
  <si>
    <t>CIBRDR-962</t>
  </si>
  <si>
    <t>CIBALERTMI-9</t>
  </si>
  <si>
    <t>SDATOOL-51827</t>
  </si>
  <si>
    <t>Maestro emisiones</t>
  </si>
  <si>
    <t>CIBRDR-945</t>
  </si>
  <si>
    <t>Eventos Corporativos</t>
  </si>
  <si>
    <t>CIBRDR-897</t>
  </si>
  <si>
    <t>SDATOOL-38779</t>
  </si>
  <si>
    <t>Sec Lending_Sponsored Repo</t>
  </si>
  <si>
    <t>CIBRDR-994</t>
  </si>
  <si>
    <t>CIBRDR-1019</t>
  </si>
  <si>
    <t>SDATOOL-34723</t>
  </si>
  <si>
    <t>Calypso Filter</t>
  </si>
  <si>
    <t>CIBRDR-1029</t>
  </si>
  <si>
    <t>SDATOOL-55461</t>
  </si>
  <si>
    <t>Refinamiento Productos Entregados</t>
  </si>
  <si>
    <t>CIBRDR-917</t>
  </si>
  <si>
    <t>SIN CÓDIGO</t>
  </si>
  <si>
    <t>Proyectos Sin Código - Soporte</t>
  </si>
  <si>
    <t>Soporte usuarios</t>
  </si>
  <si>
    <t>1-15 Abr</t>
  </si>
  <si>
    <t>16-30 Abr</t>
  </si>
  <si>
    <t>1-15 May</t>
  </si>
  <si>
    <t>16-31 Mayo</t>
  </si>
  <si>
    <t>1-15 Jun</t>
  </si>
  <si>
    <t>16-30 Jun</t>
  </si>
  <si>
    <t>Persona</t>
  </si>
  <si>
    <t>Nombre Proyecto</t>
  </si>
  <si>
    <t>Feature/Task</t>
  </si>
  <si>
    <t>Otras Tecnologías</t>
  </si>
  <si>
    <t>Nivel 1</t>
  </si>
  <si>
    <t>Nivel 2</t>
  </si>
  <si>
    <t>Nivel 3</t>
  </si>
  <si>
    <t>Total Horas quincena</t>
  </si>
  <si>
    <t>Ángela Montero</t>
  </si>
  <si>
    <t>Servicios prestados a proyectos sin código</t>
  </si>
  <si>
    <t>Análisis y diseño (antigua fase de Diseño)</t>
  </si>
  <si>
    <t>-</t>
  </si>
  <si>
    <t>Servicios prestados a proyectos con código</t>
  </si>
  <si>
    <t>Codificación</t>
  </si>
  <si>
    <t>Chema Martinez</t>
  </si>
  <si>
    <t>Pruebas</t>
  </si>
  <si>
    <t>Dariel Suárez</t>
  </si>
  <si>
    <t/>
  </si>
  <si>
    <t>David Joel</t>
  </si>
  <si>
    <t>Eduardo Varona</t>
  </si>
  <si>
    <t>Fernando Tejada</t>
  </si>
  <si>
    <t>Iker Cid</t>
  </si>
  <si>
    <t>Irene Hermida</t>
  </si>
  <si>
    <t>Jesús Tejada</t>
  </si>
  <si>
    <t>SDATOOL-52547</t>
  </si>
  <si>
    <t>Reingeniería de Market Abuse</t>
  </si>
  <si>
    <t>CIBMARKETA-186</t>
  </si>
  <si>
    <t>GoldenSource</t>
  </si>
  <si>
    <t>José Luis Rodriguez</t>
  </si>
  <si>
    <t>Juan Lucas Gordillo</t>
  </si>
  <si>
    <t>Laura Stella</t>
  </si>
  <si>
    <t>Luis Antonio Bello</t>
  </si>
  <si>
    <t>Marta Trujillano</t>
  </si>
  <si>
    <t>Miguel Saavedra</t>
  </si>
  <si>
    <t>Pablo Llorente</t>
  </si>
  <si>
    <t>Pilar Franco</t>
  </si>
  <si>
    <t>Verónica Fernández</t>
  </si>
  <si>
    <t>Víctor Gallego</t>
  </si>
  <si>
    <t>Álvaro Albelda</t>
  </si>
  <si>
    <t>Level 1 desp</t>
  </si>
  <si>
    <t>Level 2 desp</t>
  </si>
  <si>
    <t>Level 3 desp</t>
  </si>
  <si>
    <t>Otros servicios (soporte, incidencias, etc.)</t>
  </si>
  <si>
    <t>Ceremonias Agile / Facilitación Agile de Proyecto</t>
  </si>
  <si>
    <t>Correctivos</t>
  </si>
  <si>
    <t>Despliegue</t>
  </si>
  <si>
    <t>Evolutivos</t>
  </si>
  <si>
    <t>Gestión de datos</t>
  </si>
  <si>
    <t>Gestión del proyecto</t>
  </si>
  <si>
    <t>Gestión y administración</t>
  </si>
  <si>
    <t>Ideación: Detección de la oportunidad (Productos / Procesos / Servicios)</t>
  </si>
  <si>
    <t>Incidencias</t>
  </si>
  <si>
    <t>Monitorización</t>
  </si>
  <si>
    <t>Operación</t>
  </si>
  <si>
    <t>Operación/Mantenimiento</t>
  </si>
  <si>
    <t>Refinamiento y modelo de solución (antigua fase de Análisis)</t>
  </si>
  <si>
    <t>Reporting</t>
  </si>
  <si>
    <t>Revisión de código</t>
  </si>
  <si>
    <t>Soporte a usuarios</t>
  </si>
  <si>
    <t>Soporte auditorías</t>
  </si>
  <si>
    <t>Soporte OSI (On Site Inspection) (Regulatorio)</t>
  </si>
  <si>
    <t>Traspasos/Delegaciones</t>
  </si>
  <si>
    <t>AEM</t>
  </si>
  <si>
    <t>APX</t>
  </si>
  <si>
    <t>ARK aPaaS Online</t>
  </si>
  <si>
    <t>ARK BPM</t>
  </si>
  <si>
    <t>ARK JS</t>
  </si>
  <si>
    <t>ARK Python</t>
  </si>
  <si>
    <t>AS400 RPG</t>
  </si>
  <si>
    <t>ASO</t>
  </si>
  <si>
    <t>AWS Java/Python</t>
  </si>
  <si>
    <t>AWS Lambda Functions (Java, Python, Go, ...)</t>
  </si>
  <si>
    <t>Bolsa de evolutivos</t>
  </si>
  <si>
    <t>Bonita 7_COL</t>
  </si>
  <si>
    <t>BPMaaS</t>
  </si>
  <si>
    <t>BPMaaS_ES</t>
  </si>
  <si>
    <t>CBTF</t>
  </si>
  <si>
    <t>Cells</t>
  </si>
  <si>
    <t>Chimera</t>
  </si>
  <si>
    <t>DataX</t>
  </si>
  <si>
    <t>DATIO (Dataproc)</t>
  </si>
  <si>
    <t>Features de evolutivo</t>
  </si>
  <si>
    <t>Genesys_COL</t>
  </si>
  <si>
    <t>Genexus</t>
  </si>
  <si>
    <t>Google Cloud Platform. Backend. Archetype (Java / Python, YAML, JSON)</t>
  </si>
  <si>
    <t>Google Cloud Platform. Backend. Cloud Dataflow</t>
  </si>
  <si>
    <t>Google Cloud Platform. Backend. Cloud Functions</t>
  </si>
  <si>
    <t>Google Cloud Platform. Data. BigQuery (Google SQL)</t>
  </si>
  <si>
    <t>Google Cloud Platform. Data. Cloud SQL (SQL)</t>
  </si>
  <si>
    <t>Google Cloud Platform. Frontend (JavaScript, HTML, CSS, React JS, Node JS, Angular, ...)</t>
  </si>
  <si>
    <t>Google Cloud Platform. Google Pub / Sub</t>
  </si>
  <si>
    <t>Host / Mainframe</t>
  </si>
  <si>
    <t>HTML / CSS / JavaScript (Angular JS, React, Vue, ...)</t>
  </si>
  <si>
    <t>IaC (Terraform, CloudFormation,...)</t>
  </si>
  <si>
    <t>Java Application Backend (Java, J2EE, Spring, JDBC, ...)</t>
  </si>
  <si>
    <t>jBPM</t>
  </si>
  <si>
    <t>JIRA</t>
  </si>
  <si>
    <t>JS Application Backend - JavaScript, NodeJS, npm)</t>
  </si>
  <si>
    <t>JS Web Frontend - JavaScript, HTML, CSS, React JS, Node, Angular, ...)</t>
  </si>
  <si>
    <t>Legacy distribuidos _ OTROS</t>
  </si>
  <si>
    <t>Legacy distribuidos .NET</t>
  </si>
  <si>
    <t>Legacy distribuidos Java / Blue Spring / Spring</t>
  </si>
  <si>
    <t>Legacy distribuidos Nacar _ LIGERO</t>
  </si>
  <si>
    <t>Legacy distribuidos Nacar _ PESADO</t>
  </si>
  <si>
    <t>Legacy Distributed Environment .Net</t>
  </si>
  <si>
    <t>Legacy Distributed Environment Java / Blue Spring / Spring</t>
  </si>
  <si>
    <t>Legacy GEN Backend</t>
  </si>
  <si>
    <t>Legacy GEN Frontend</t>
  </si>
  <si>
    <t>Legacy ODI</t>
  </si>
  <si>
    <t>Legacy Python</t>
  </si>
  <si>
    <t>LRA - Lightweight Runtime Architecture</t>
  </si>
  <si>
    <t>LRBA - Lightweight Runtime Architecture for Batch</t>
  </si>
  <si>
    <t>Mendix</t>
  </si>
  <si>
    <t>MicroStrategy</t>
  </si>
  <si>
    <t>Mobile Native Client (Android, iOS, Kotlin)</t>
  </si>
  <si>
    <t>Nova</t>
  </si>
  <si>
    <t>Openweb</t>
  </si>
  <si>
    <t>PHP Web Frontend - PHP, HTML, CSS, Laravel, CodeIgniter, Zend, Symfony, ...)</t>
  </si>
  <si>
    <t>Pipelines groovy</t>
  </si>
  <si>
    <t>PowerBuilder</t>
  </si>
  <si>
    <t>Powercenter</t>
  </si>
  <si>
    <t>Relational Data Bases - SQL, PL/SQL</t>
  </si>
  <si>
    <t>SaaS - Con desarrollo BBVA (no repos corporativos)</t>
  </si>
  <si>
    <t>SaaS - Con desarrollo BBVA (repos corporativos)</t>
  </si>
  <si>
    <t>SaaS - Sin desarrollo BBVA</t>
  </si>
  <si>
    <t>Salesforce</t>
  </si>
  <si>
    <t>Samuel</t>
  </si>
  <si>
    <t>SAP Backend (Java, ABAP)</t>
  </si>
  <si>
    <t>SAP Frontend (JavaScript, ABAP)</t>
  </si>
  <si>
    <t>SEMaaS - Stream, Events and Monitoring as a Service</t>
  </si>
  <si>
    <t>Shell Scripting (sh, bash, TCL, Python, Pearl, ...)</t>
  </si>
  <si>
    <t>Thick / Desktop Client (Visual Basic, C#, .NET, J2SE, ...)</t>
  </si>
  <si>
    <t>VB 6.0</t>
  </si>
  <si>
    <t>VB NET</t>
  </si>
  <si>
    <t>WebFocus</t>
  </si>
  <si>
    <t>Wordpress (HTML, JavaScript, JQuery, PHP, ...)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</si>
</sst>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5">
    <font>
      <sz val="10.0"/>
      <color rgb="FF000000"/>
      <name val="Arial"/>
      <scheme val="minor"/>
    </font>
    <font>
      <b/>
      <sz val="9.0"/>
      <color rgb="FFFFFFFF"/>
      <name val="Arial"/>
    </font>
    <font/>
    <font>
      <b/>
      <sz val="9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color theme="1"/>
      <name val="Arial"/>
      <scheme val="minor"/>
    </font>
    <font>
      <color theme="1"/>
      <name val="Arial"/>
    </font>
    <font>
      <b/>
      <color rgb="FFFFFFFF"/>
      <name val="Arial"/>
    </font>
    <font>
      <sz val="9.0"/>
      <color rgb="FFFFFFFF"/>
      <name val="Ubuntu"/>
    </font>
    <font>
      <b/>
      <color theme="1"/>
      <name val="Arial"/>
    </font>
    <font>
      <b/>
      <i/>
      <sz val="17.0"/>
      <color theme="1"/>
      <name val="Arial"/>
    </font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  <fill>
      <patternFill patternType="solid">
        <fgColor rgb="FF3D85C6"/>
        <bgColor rgb="FF3D85C6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</fills>
  <borders count="3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000000"/>
      </right>
    </border>
    <border>
      <left style="thin">
        <color rgb="FFFFFFFF"/>
      </left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FF0000"/>
      </right>
      <bottom style="thin">
        <color rgb="FFFF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FF0000"/>
      </left>
      <right style="thin">
        <color rgb="FFFF0000"/>
      </right>
      <top style="thin">
        <color rgb="FFFF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FF0000"/>
      </left>
      <right style="thin">
        <color rgb="FFFF0000"/>
      </right>
      <top style="medium">
        <color rgb="FF000000"/>
      </top>
      <bottom style="thin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FF0000"/>
      </left>
      <right style="thin">
        <color rgb="FFFF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3" fillId="2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6" fillId="4" fontId="4" numFmtId="0" xfId="0" applyAlignment="1" applyBorder="1" applyFill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vertical="center"/>
    </xf>
    <xf borderId="3" fillId="2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vertical="center"/>
    </xf>
    <xf borderId="4" fillId="0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6" fillId="0" fontId="5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shrinkToFit="0" wrapText="1"/>
    </xf>
    <xf borderId="6" fillId="4" fontId="4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vertical="center"/>
    </xf>
    <xf borderId="8" fillId="2" fontId="4" numFmtId="0" xfId="0" applyAlignment="1" applyBorder="1" applyFont="1">
      <alignment horizontal="center" readingOrder="0" shrinkToFit="0" vertical="center" wrapText="1"/>
    </xf>
    <xf borderId="8" fillId="2" fontId="4" numFmtId="0" xfId="0" applyAlignment="1" applyBorder="1" applyFont="1">
      <alignment horizontal="center" shrinkToFit="0" wrapText="1"/>
    </xf>
    <xf borderId="8" fillId="2" fontId="4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/>
    </xf>
    <xf borderId="6" fillId="4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wrapText="1"/>
    </xf>
    <xf borderId="6" fillId="0" fontId="6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shrinkToFit="0" wrapText="1"/>
    </xf>
    <xf borderId="9" fillId="5" fontId="10" numFmtId="0" xfId="0" applyAlignment="1" applyBorder="1" applyFill="1" applyFont="1">
      <alignment horizontal="center"/>
    </xf>
    <xf borderId="7" fillId="5" fontId="10" numFmtId="0" xfId="0" applyAlignment="1" applyBorder="1" applyFont="1">
      <alignment horizontal="center"/>
    </xf>
    <xf borderId="7" fillId="5" fontId="9" numFmtId="0" xfId="0" applyAlignment="1" applyBorder="1" applyFont="1">
      <alignment horizontal="center"/>
    </xf>
    <xf borderId="7" fillId="5" fontId="10" numFmtId="0" xfId="0" applyAlignment="1" applyBorder="1" applyFont="1">
      <alignment horizontal="center" shrinkToFit="0" wrapText="0"/>
    </xf>
    <xf borderId="10" fillId="3" fontId="11" numFmtId="164" xfId="0" applyAlignment="1" applyBorder="1" applyFont="1" applyNumberFormat="1">
      <alignment horizontal="center" readingOrder="0" shrinkToFit="0" textRotation="45" wrapText="1"/>
    </xf>
    <xf borderId="11" fillId="6" fontId="11" numFmtId="164" xfId="0" applyAlignment="1" applyBorder="1" applyFill="1" applyFont="1" applyNumberFormat="1">
      <alignment horizontal="center" readingOrder="0" shrinkToFit="0" textRotation="45" wrapText="1"/>
    </xf>
    <xf borderId="7" fillId="5" fontId="9" numFmtId="0" xfId="0" applyBorder="1" applyFont="1"/>
    <xf borderId="12" fillId="6" fontId="11" numFmtId="164" xfId="0" applyAlignment="1" applyBorder="1" applyFont="1" applyNumberFormat="1">
      <alignment horizontal="center" readingOrder="0" shrinkToFit="0" textRotation="45" wrapText="1"/>
    </xf>
    <xf borderId="13" fillId="0" fontId="12" numFmtId="0" xfId="0" applyAlignment="1" applyBorder="1" applyFont="1">
      <alignment horizontal="center"/>
    </xf>
    <xf borderId="14" fillId="0" fontId="9" numFmtId="0" xfId="0" applyAlignment="1" applyBorder="1" applyFont="1">
      <alignment horizontal="center"/>
    </xf>
    <xf borderId="14" fillId="0" fontId="9" numFmtId="0" xfId="0" applyAlignment="1" applyBorder="1" applyFont="1">
      <alignment horizontal="center" shrinkToFit="0" wrapText="1"/>
    </xf>
    <xf borderId="14" fillId="0" fontId="9" numFmtId="0" xfId="0" applyBorder="1" applyFont="1"/>
    <xf borderId="14" fillId="0" fontId="9" numFmtId="0" xfId="0" applyAlignment="1" applyBorder="1" applyFont="1">
      <alignment horizontal="center"/>
    </xf>
    <xf borderId="14" fillId="0" fontId="9" numFmtId="0" xfId="0" applyAlignment="1" applyBorder="1" applyFont="1">
      <alignment shrinkToFit="0" wrapText="0"/>
    </xf>
    <xf borderId="14" fillId="0" fontId="9" numFmtId="0" xfId="0" applyAlignment="1" applyBorder="1" applyFont="1">
      <alignment readingOrder="0"/>
    </xf>
    <xf borderId="14" fillId="7" fontId="9" numFmtId="0" xfId="0" applyAlignment="1" applyBorder="1" applyFill="1" applyFont="1">
      <alignment horizontal="center" readingOrder="0"/>
    </xf>
    <xf borderId="14" fillId="8" fontId="9" numFmtId="0" xfId="0" applyAlignment="1" applyBorder="1" applyFill="1" applyFont="1">
      <alignment horizontal="center"/>
    </xf>
    <xf borderId="14" fillId="0" fontId="9" numFmtId="0" xfId="0" applyAlignment="1" applyBorder="1" applyFont="1">
      <alignment horizontal="center" readingOrder="0"/>
    </xf>
    <xf borderId="15" fillId="0" fontId="9" numFmtId="0" xfId="0" applyAlignment="1" applyBorder="1" applyFont="1">
      <alignment horizontal="center" readingOrder="0"/>
    </xf>
    <xf borderId="11" fillId="6" fontId="9" numFmtId="0" xfId="0" applyAlignment="1" applyBorder="1" applyFont="1">
      <alignment horizontal="center"/>
    </xf>
    <xf borderId="14" fillId="0" fontId="9" numFmtId="0" xfId="0" applyAlignment="1" applyBorder="1" applyFont="1">
      <alignment horizontal="center" shrinkToFit="0" wrapText="1"/>
    </xf>
    <xf borderId="6" fillId="0" fontId="9" numFmtId="0" xfId="0" applyBorder="1" applyFont="1"/>
    <xf borderId="14" fillId="0" fontId="9" numFmtId="0" xfId="0" applyAlignment="1" applyBorder="1" applyFont="1">
      <alignment horizontal="center" readingOrder="0" shrinkToFit="0" wrapText="1"/>
    </xf>
    <xf borderId="6" fillId="0" fontId="9" numFmtId="0" xfId="0" applyAlignment="1" applyBorder="1" applyFont="1">
      <alignment shrinkToFit="0" wrapText="0"/>
    </xf>
    <xf borderId="6" fillId="0" fontId="9" numFmtId="0" xfId="0" applyAlignment="1" applyBorder="1" applyFont="1">
      <alignment horizontal="center" readingOrder="0"/>
    </xf>
    <xf borderId="6" fillId="0" fontId="9" numFmtId="0" xfId="0" applyAlignment="1" applyBorder="1" applyFont="1">
      <alignment horizontal="center"/>
    </xf>
    <xf borderId="6" fillId="9" fontId="9" numFmtId="0" xfId="0" applyAlignment="1" applyBorder="1" applyFill="1" applyFont="1">
      <alignment horizontal="center"/>
    </xf>
    <xf borderId="16" fillId="6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 shrinkToFit="0" wrapText="1"/>
    </xf>
    <xf borderId="6" fillId="0" fontId="9" numFmtId="0" xfId="0" applyAlignment="1" applyBorder="1" applyFont="1">
      <alignment horizontal="center" readingOrder="0" shrinkToFit="0" wrapText="1"/>
    </xf>
    <xf borderId="5" fillId="0" fontId="9" numFmtId="0" xfId="0" applyAlignment="1" applyBorder="1" applyFont="1">
      <alignment horizontal="center" readingOrder="0" shrinkToFit="0" wrapText="1"/>
    </xf>
    <xf borderId="5" fillId="0" fontId="9" numFmtId="0" xfId="0" applyAlignment="1" applyBorder="1" applyFont="1">
      <alignment horizontal="center"/>
    </xf>
    <xf borderId="14" fillId="9" fontId="9" numFmtId="0" xfId="0" applyAlignment="1" applyBorder="1" applyFont="1">
      <alignment horizontal="center" readingOrder="0"/>
    </xf>
    <xf borderId="14" fillId="9" fontId="9" numFmtId="0" xfId="0" applyAlignment="1" applyBorder="1" applyFont="1">
      <alignment horizontal="center"/>
    </xf>
    <xf borderId="15" fillId="9" fontId="9" numFmtId="0" xfId="0" applyAlignment="1" applyBorder="1" applyFont="1">
      <alignment horizontal="center"/>
    </xf>
    <xf borderId="14" fillId="9" fontId="9" numFmtId="0" xfId="0" applyAlignment="1" applyBorder="1" applyFont="1">
      <alignment vertical="bottom"/>
    </xf>
    <xf borderId="14" fillId="0" fontId="9" numFmtId="0" xfId="0" applyAlignment="1" applyBorder="1" applyFont="1">
      <alignment readingOrder="0" vertical="bottom"/>
    </xf>
    <xf borderId="4" fillId="0" fontId="4" numFmtId="0" xfId="0" applyAlignment="1" applyBorder="1" applyFont="1">
      <alignment horizontal="center" readingOrder="0" shrinkToFit="0" wrapText="1"/>
    </xf>
    <xf borderId="17" fillId="0" fontId="9" numFmtId="0" xfId="0" applyAlignment="1" applyBorder="1" applyFont="1">
      <alignment horizontal="center" shrinkToFit="0" wrapText="1"/>
    </xf>
    <xf borderId="17" fillId="0" fontId="9" numFmtId="0" xfId="0" applyAlignment="1" applyBorder="1" applyFont="1">
      <alignment horizontal="center"/>
    </xf>
    <xf borderId="14" fillId="0" fontId="9" numFmtId="0" xfId="0" applyAlignment="1" applyBorder="1" applyFont="1">
      <alignment vertical="bottom"/>
    </xf>
    <xf borderId="9" fillId="0" fontId="2" numFmtId="0" xfId="0" applyBorder="1" applyFont="1"/>
    <xf borderId="6" fillId="0" fontId="9" numFmtId="0" xfId="0" applyAlignment="1" applyBorder="1" applyFont="1">
      <alignment readingOrder="0"/>
    </xf>
    <xf borderId="6" fillId="7" fontId="9" numFmtId="0" xfId="0" applyBorder="1" applyFont="1"/>
    <xf borderId="6" fillId="8" fontId="9" numFmtId="0" xfId="0" applyBorder="1" applyFont="1"/>
    <xf borderId="6" fillId="0" fontId="9" numFmtId="0" xfId="0" applyBorder="1" applyFont="1"/>
    <xf borderId="18" fillId="0" fontId="9" numFmtId="0" xfId="0" applyBorder="1" applyFont="1"/>
    <xf borderId="11" fillId="6" fontId="9" numFmtId="0" xfId="0" applyBorder="1" applyFont="1"/>
    <xf borderId="5" fillId="0" fontId="9" numFmtId="0" xfId="0" applyBorder="1" applyFont="1"/>
    <xf borderId="5" fillId="0" fontId="9" numFmtId="0" xfId="0" applyAlignment="1" applyBorder="1" applyFont="1">
      <alignment shrinkToFit="0" wrapText="0"/>
    </xf>
    <xf borderId="6" fillId="9" fontId="9" numFmtId="0" xfId="0" applyAlignment="1" applyBorder="1" applyFont="1">
      <alignment horizontal="center"/>
    </xf>
    <xf borderId="6" fillId="0" fontId="9" numFmtId="0" xfId="0" applyAlignment="1" applyBorder="1" applyFont="1">
      <alignment horizontal="center"/>
    </xf>
    <xf borderId="6" fillId="9" fontId="9" numFmtId="0" xfId="0" applyBorder="1" applyFont="1"/>
    <xf borderId="18" fillId="9" fontId="9" numFmtId="0" xfId="0" applyBorder="1" applyFont="1"/>
    <xf borderId="6" fillId="0" fontId="9" numFmtId="0" xfId="0" applyAlignment="1" applyBorder="1" applyFont="1">
      <alignment vertical="bottom"/>
    </xf>
    <xf borderId="6" fillId="0" fontId="9" numFmtId="0" xfId="0" applyAlignment="1" applyBorder="1" applyFont="1">
      <alignment readingOrder="0" vertical="bottom"/>
    </xf>
    <xf borderId="6" fillId="9" fontId="9" numFmtId="0" xfId="0" applyAlignment="1" applyBorder="1" applyFont="1">
      <alignment vertical="bottom"/>
    </xf>
    <xf borderId="6" fillId="0" fontId="9" numFmtId="0" xfId="0" applyAlignment="1" applyBorder="1" applyFont="1">
      <alignment horizontal="center" vertical="bottom"/>
    </xf>
    <xf borderId="6" fillId="0" fontId="9" numFmtId="0" xfId="0" applyAlignment="1" applyBorder="1" applyFont="1">
      <alignment horizontal="center" readingOrder="0" vertical="bottom"/>
    </xf>
    <xf borderId="19" fillId="0" fontId="9" numFmtId="0" xfId="0" applyAlignment="1" applyBorder="1" applyFont="1">
      <alignment shrinkToFit="0" wrapText="0"/>
    </xf>
    <xf borderId="20" fillId="0" fontId="2" numFmtId="0" xfId="0" applyBorder="1" applyFont="1"/>
    <xf borderId="21" fillId="0" fontId="9" numFmtId="0" xfId="0" applyAlignment="1" applyBorder="1" applyFont="1">
      <alignment horizontal="center" shrinkToFit="0" wrapText="1"/>
    </xf>
    <xf borderId="21" fillId="0" fontId="9" numFmtId="0" xfId="0" applyAlignment="1" applyBorder="1" applyFont="1">
      <alignment horizontal="center"/>
    </xf>
    <xf borderId="21" fillId="0" fontId="9" numFmtId="0" xfId="0" applyAlignment="1" applyBorder="1" applyFont="1">
      <alignment readingOrder="0"/>
    </xf>
    <xf borderId="21" fillId="0" fontId="9" numFmtId="0" xfId="0" applyAlignment="1" applyBorder="1" applyFont="1">
      <alignment horizontal="center" readingOrder="0" shrinkToFit="0" wrapText="1"/>
    </xf>
    <xf borderId="21" fillId="0" fontId="9" numFmtId="0" xfId="0" applyAlignment="1" applyBorder="1" applyFont="1">
      <alignment horizontal="center" readingOrder="0"/>
    </xf>
    <xf borderId="21" fillId="0" fontId="9" numFmtId="0" xfId="0" applyAlignment="1" applyBorder="1" applyFont="1">
      <alignment shrinkToFit="0" wrapText="0"/>
    </xf>
    <xf borderId="21" fillId="7" fontId="9" numFmtId="0" xfId="0" applyBorder="1" applyFont="1"/>
    <xf borderId="21" fillId="8" fontId="9" numFmtId="0" xfId="0" applyBorder="1" applyFont="1"/>
    <xf borderId="21" fillId="0" fontId="9" numFmtId="0" xfId="0" applyBorder="1" applyFont="1"/>
    <xf borderId="22" fillId="0" fontId="9" numFmtId="0" xfId="0" applyBorder="1" applyFont="1"/>
    <xf borderId="23" fillId="6" fontId="9" numFmtId="0" xfId="0" applyBorder="1" applyFont="1"/>
    <xf borderId="21" fillId="0" fontId="9" numFmtId="0" xfId="0" applyBorder="1" applyFont="1"/>
    <xf borderId="21" fillId="0" fontId="9" numFmtId="0" xfId="0" applyAlignment="1" applyBorder="1" applyFont="1">
      <alignment horizontal="center"/>
    </xf>
    <xf borderId="21" fillId="9" fontId="9" numFmtId="0" xfId="0" applyAlignment="1" applyBorder="1" applyFont="1">
      <alignment horizontal="center"/>
    </xf>
    <xf borderId="22" fillId="0" fontId="9" numFmtId="0" xfId="0" applyAlignment="1" applyBorder="1" applyFont="1">
      <alignment horizontal="center" readingOrder="0"/>
    </xf>
    <xf borderId="21" fillId="9" fontId="9" numFmtId="0" xfId="0" applyBorder="1" applyFont="1"/>
    <xf borderId="22" fillId="9" fontId="9" numFmtId="0" xfId="0" applyBorder="1" applyFont="1"/>
    <xf borderId="21" fillId="0" fontId="9" numFmtId="0" xfId="0" applyAlignment="1" applyBorder="1" applyFont="1">
      <alignment vertical="bottom"/>
    </xf>
    <xf borderId="21" fillId="9" fontId="9" numFmtId="0" xfId="0" applyAlignment="1" applyBorder="1" applyFont="1">
      <alignment vertical="bottom"/>
    </xf>
    <xf borderId="24" fillId="0" fontId="9" numFmtId="0" xfId="0" applyAlignment="1" applyBorder="1" applyFont="1">
      <alignment readingOrder="0"/>
    </xf>
    <xf borderId="24" fillId="0" fontId="9" numFmtId="0" xfId="0" applyAlignment="1" applyBorder="1" applyFont="1">
      <alignment horizontal="center" vertical="bottom"/>
    </xf>
    <xf borderId="24" fillId="0" fontId="9" numFmtId="0" xfId="0" applyAlignment="1" applyBorder="1" applyFont="1">
      <alignment horizontal="center" readingOrder="0" vertical="bottom"/>
    </xf>
    <xf borderId="24" fillId="0" fontId="9" numFmtId="0" xfId="0" applyAlignment="1" applyBorder="1" applyFont="1">
      <alignment horizontal="center" readingOrder="0"/>
    </xf>
    <xf borderId="21" fillId="0" fontId="9" numFmtId="0" xfId="0" applyAlignment="1" applyBorder="1" applyFont="1">
      <alignment readingOrder="0" vertical="bottom"/>
    </xf>
    <xf borderId="12" fillId="6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 shrinkToFit="0" vertical="center" wrapText="1"/>
    </xf>
    <xf borderId="18" fillId="0" fontId="9" numFmtId="0" xfId="0" applyAlignment="1" applyBorder="1" applyFont="1">
      <alignment horizontal="center"/>
    </xf>
    <xf borderId="5" fillId="0" fontId="9" numFmtId="0" xfId="0" applyAlignment="1" applyBorder="1" applyFont="1">
      <alignment readingOrder="0"/>
    </xf>
    <xf borderId="5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readingOrder="0" vertical="bottom"/>
    </xf>
    <xf borderId="22" fillId="0" fontId="9" numFmtId="0" xfId="0" applyAlignment="1" applyBorder="1" applyFont="1">
      <alignment horizontal="center"/>
    </xf>
    <xf borderId="6" fillId="0" fontId="9" numFmtId="0" xfId="0" applyAlignment="1" applyBorder="1" applyFont="1">
      <alignment horizontal="center" shrinkToFit="0" wrapText="1"/>
    </xf>
    <xf borderId="25" fillId="0" fontId="9" numFmtId="0" xfId="0" applyAlignment="1" applyBorder="1" applyFont="1">
      <alignment horizontal="center" readingOrder="0" vertical="bottom"/>
    </xf>
    <xf borderId="6" fillId="9" fontId="9" numFmtId="0" xfId="0" applyAlignment="1" applyBorder="1" applyFont="1">
      <alignment vertical="bottom"/>
    </xf>
    <xf borderId="16" fillId="6" fontId="9" numFmtId="0" xfId="0" applyBorder="1" applyFont="1"/>
    <xf borderId="4" fillId="0" fontId="9" numFmtId="0" xfId="0" applyAlignment="1" applyBorder="1" applyFont="1">
      <alignment horizontal="center"/>
    </xf>
    <xf borderId="4" fillId="0" fontId="9" numFmtId="0" xfId="0" applyBorder="1" applyFont="1"/>
    <xf borderId="4" fillId="0" fontId="9" numFmtId="0" xfId="0" applyAlignment="1" applyBorder="1" applyFont="1">
      <alignment shrinkToFit="0" wrapText="0"/>
    </xf>
    <xf borderId="4" fillId="0" fontId="9" numFmtId="0" xfId="0" applyBorder="1" applyFont="1"/>
    <xf borderId="4" fillId="7" fontId="9" numFmtId="0" xfId="0" applyBorder="1" applyFont="1"/>
    <xf borderId="4" fillId="8" fontId="9" numFmtId="0" xfId="0" applyBorder="1" applyFont="1"/>
    <xf borderId="26" fillId="0" fontId="9" numFmtId="0" xfId="0" applyBorder="1" applyFont="1"/>
    <xf borderId="27" fillId="6" fontId="9" numFmtId="0" xfId="0" applyBorder="1" applyFont="1"/>
    <xf borderId="4" fillId="0" fontId="9" numFmtId="0" xfId="0" applyAlignment="1" applyBorder="1" applyFont="1">
      <alignment horizontal="center"/>
    </xf>
    <xf borderId="4" fillId="9" fontId="9" numFmtId="0" xfId="0" applyAlignment="1" applyBorder="1" applyFont="1">
      <alignment horizontal="center"/>
    </xf>
    <xf borderId="26" fillId="0" fontId="9" numFmtId="0" xfId="0" applyAlignment="1" applyBorder="1" applyFont="1">
      <alignment horizontal="center"/>
    </xf>
    <xf borderId="4" fillId="9" fontId="9" numFmtId="0" xfId="0" applyBorder="1" applyFont="1"/>
    <xf borderId="26" fillId="9" fontId="9" numFmtId="0" xfId="0" applyBorder="1" applyFont="1"/>
    <xf borderId="4" fillId="0" fontId="9" numFmtId="0" xfId="0" applyAlignment="1" applyBorder="1" applyFont="1">
      <alignment horizontal="center" shrinkToFit="0" wrapText="1"/>
    </xf>
    <xf borderId="4" fillId="0" fontId="9" numFmtId="0" xfId="0" applyAlignment="1" applyBorder="1" applyFont="1">
      <alignment vertical="bottom"/>
    </xf>
    <xf borderId="4" fillId="9" fontId="9" numFmtId="0" xfId="0" applyAlignment="1" applyBorder="1" applyFont="1">
      <alignment vertical="bottom"/>
    </xf>
    <xf borderId="4" fillId="0" fontId="9" numFmtId="0" xfId="0" applyAlignment="1" applyBorder="1" applyFont="1">
      <alignment readingOrder="0" vertical="bottom"/>
    </xf>
    <xf borderId="28" fillId="0" fontId="12" numFmtId="0" xfId="0" applyAlignment="1" applyBorder="1" applyFont="1">
      <alignment horizontal="center"/>
    </xf>
    <xf borderId="25" fillId="0" fontId="9" numFmtId="0" xfId="0" applyAlignment="1" applyBorder="1" applyFont="1">
      <alignment horizontal="center"/>
    </xf>
    <xf borderId="25" fillId="0" fontId="9" numFmtId="0" xfId="0" applyAlignment="1" applyBorder="1" applyFont="1">
      <alignment horizontal="center" shrinkToFit="0" wrapText="1"/>
    </xf>
    <xf borderId="25" fillId="0" fontId="9" numFmtId="0" xfId="0" applyBorder="1" applyFont="1"/>
    <xf borderId="25" fillId="0" fontId="9" numFmtId="0" xfId="0" applyAlignment="1" applyBorder="1" applyFont="1">
      <alignment horizontal="center"/>
    </xf>
    <xf borderId="25" fillId="0" fontId="9" numFmtId="0" xfId="0" applyAlignment="1" applyBorder="1" applyFont="1">
      <alignment shrinkToFit="0" wrapText="0"/>
    </xf>
    <xf borderId="25" fillId="0" fontId="9" numFmtId="0" xfId="0" applyAlignment="1" applyBorder="1" applyFont="1">
      <alignment readingOrder="0"/>
    </xf>
    <xf borderId="25" fillId="7" fontId="9" numFmtId="0" xfId="0" applyAlignment="1" applyBorder="1" applyFont="1">
      <alignment horizontal="center" readingOrder="0"/>
    </xf>
    <xf borderId="25" fillId="8" fontId="9" numFmtId="0" xfId="0" applyAlignment="1" applyBorder="1" applyFont="1">
      <alignment horizontal="center"/>
    </xf>
    <xf borderId="25" fillId="0" fontId="9" numFmtId="0" xfId="0" applyAlignment="1" applyBorder="1" applyFont="1">
      <alignment horizontal="center" readingOrder="0"/>
    </xf>
    <xf borderId="29" fillId="0" fontId="9" numFmtId="0" xfId="0" applyAlignment="1" applyBorder="1" applyFont="1">
      <alignment horizontal="center" readingOrder="0"/>
    </xf>
    <xf borderId="30" fillId="6" fontId="9" numFmtId="0" xfId="0" applyAlignment="1" applyBorder="1" applyFont="1">
      <alignment horizontal="center"/>
    </xf>
    <xf borderId="25" fillId="0" fontId="9" numFmtId="0" xfId="0" applyAlignment="1" applyBorder="1" applyFont="1">
      <alignment horizontal="center" shrinkToFit="0" wrapText="1"/>
    </xf>
    <xf borderId="25" fillId="0" fontId="6" numFmtId="0" xfId="0" applyAlignment="1" applyBorder="1" applyFont="1">
      <alignment horizontal="center" readingOrder="0" shrinkToFit="0" vertical="center" wrapText="1"/>
    </xf>
    <xf borderId="25" fillId="0" fontId="9" numFmtId="0" xfId="0" applyAlignment="1" applyBorder="1" applyFont="1">
      <alignment horizontal="center" readingOrder="0" shrinkToFit="0" wrapText="1"/>
    </xf>
    <xf borderId="25" fillId="9" fontId="9" numFmtId="0" xfId="0" applyAlignment="1" applyBorder="1" applyFont="1">
      <alignment horizontal="center"/>
    </xf>
    <xf borderId="25" fillId="0" fontId="4" numFmtId="0" xfId="0" applyAlignment="1" applyBorder="1" applyFont="1">
      <alignment horizontal="center" readingOrder="0" shrinkToFit="0" wrapText="1"/>
    </xf>
    <xf borderId="29" fillId="9" fontId="9" numFmtId="0" xfId="0" applyAlignment="1" applyBorder="1" applyFont="1">
      <alignment horizontal="center"/>
    </xf>
    <xf borderId="25" fillId="0" fontId="9" numFmtId="0" xfId="0" applyAlignment="1" applyBorder="1" applyFont="1">
      <alignment vertical="bottom"/>
    </xf>
    <xf borderId="25" fillId="9" fontId="9" numFmtId="0" xfId="0" applyAlignment="1" applyBorder="1" applyFont="1">
      <alignment vertical="bottom"/>
    </xf>
    <xf borderId="25" fillId="0" fontId="9" numFmtId="0" xfId="0" applyAlignment="1" applyBorder="1" applyFont="1">
      <alignment horizontal="center" vertical="bottom"/>
    </xf>
    <xf borderId="13" fillId="0" fontId="12" numFmtId="0" xfId="0" applyAlignment="1" applyBorder="1" applyFont="1">
      <alignment horizontal="center" readingOrder="0"/>
    </xf>
    <xf borderId="18" fillId="0" fontId="9" numFmtId="0" xfId="0" applyAlignment="1" applyBorder="1" applyFont="1">
      <alignment readingOrder="0"/>
    </xf>
    <xf borderId="18" fillId="0" fontId="9" numFmtId="0" xfId="0" applyAlignment="1" applyBorder="1" applyFont="1">
      <alignment horizontal="center" readingOrder="0"/>
    </xf>
    <xf borderId="18" fillId="0" fontId="9" numFmtId="0" xfId="0" applyAlignment="1" applyBorder="1" applyFont="1">
      <alignment readingOrder="0" shrinkToFit="0" wrapText="0"/>
    </xf>
    <xf borderId="19" fillId="0" fontId="9" numFmtId="0" xfId="0" applyAlignment="1" applyBorder="1" applyFont="1">
      <alignment readingOrder="0"/>
    </xf>
    <xf borderId="21" fillId="0" fontId="9" numFmtId="0" xfId="0" applyAlignment="1" applyBorder="1" applyFont="1">
      <alignment horizontal="center" shrinkToFit="0" wrapText="1"/>
    </xf>
    <xf borderId="24" fillId="0" fontId="9" numFmtId="0" xfId="0" applyAlignment="1" applyBorder="1" applyFont="1">
      <alignment horizontal="center" shrinkToFit="0" wrapText="1"/>
    </xf>
    <xf borderId="21" fillId="9" fontId="9" numFmtId="0" xfId="0" applyAlignment="1" applyBorder="1" applyFont="1">
      <alignment vertical="bottom"/>
    </xf>
    <xf borderId="31" fillId="0" fontId="9" numFmtId="0" xfId="0" applyAlignment="1" applyBorder="1" applyFont="1">
      <alignment horizontal="center" shrinkToFit="0" wrapText="1"/>
    </xf>
    <xf borderId="13" fillId="0" fontId="12" numFmtId="0" xfId="0" applyAlignment="1" applyBorder="1" applyFont="1">
      <alignment horizontal="center"/>
    </xf>
    <xf borderId="5" fillId="9" fontId="9" numFmtId="0" xfId="0" applyAlignment="1" applyBorder="1" applyFont="1">
      <alignment horizontal="center"/>
    </xf>
    <xf borderId="5" fillId="0" fontId="9" numFmtId="0" xfId="0" applyAlignment="1" applyBorder="1" applyFont="1">
      <alignment vertical="bottom"/>
    </xf>
    <xf borderId="5" fillId="9" fontId="9" numFmtId="0" xfId="0" applyAlignment="1" applyBorder="1" applyFont="1">
      <alignment vertical="bottom"/>
    </xf>
    <xf borderId="31" fillId="0" fontId="9" numFmtId="0" xfId="0" applyAlignment="1" applyBorder="1" applyFont="1">
      <alignment horizontal="center" shrinkToFit="0" wrapText="1"/>
    </xf>
    <xf borderId="31" fillId="0" fontId="9" numFmtId="0" xfId="0" applyAlignment="1" applyBorder="1" applyFont="1">
      <alignment horizontal="center"/>
    </xf>
    <xf borderId="31" fillId="0" fontId="9" numFmtId="0" xfId="0" applyAlignment="1" applyBorder="1" applyFont="1">
      <alignment shrinkToFit="0" wrapText="0"/>
    </xf>
    <xf borderId="31" fillId="0" fontId="9" numFmtId="0" xfId="0" applyBorder="1" applyFont="1"/>
    <xf borderId="31" fillId="7" fontId="9" numFmtId="0" xfId="0" applyBorder="1" applyFont="1"/>
    <xf borderId="31" fillId="8" fontId="9" numFmtId="0" xfId="0" applyBorder="1" applyFont="1"/>
    <xf borderId="32" fillId="0" fontId="9" numFmtId="0" xfId="0" applyBorder="1" applyFont="1"/>
    <xf borderId="33" fillId="6" fontId="9" numFmtId="0" xfId="0" applyBorder="1" applyFont="1"/>
    <xf borderId="31" fillId="9" fontId="9" numFmtId="0" xfId="0" applyAlignment="1" applyBorder="1" applyFont="1">
      <alignment horizontal="center"/>
    </xf>
    <xf borderId="32" fillId="0" fontId="9" numFmtId="0" xfId="0" applyAlignment="1" applyBorder="1" applyFont="1">
      <alignment horizontal="center"/>
    </xf>
    <xf borderId="31" fillId="9" fontId="9" numFmtId="0" xfId="0" applyBorder="1" applyFont="1"/>
    <xf borderId="32" fillId="9" fontId="9" numFmtId="0" xfId="0" applyBorder="1" applyFont="1"/>
    <xf borderId="31" fillId="0" fontId="9" numFmtId="0" xfId="0" applyBorder="1" applyFont="1"/>
    <xf borderId="31" fillId="0" fontId="9" numFmtId="0" xfId="0" applyAlignment="1" applyBorder="1" applyFont="1">
      <alignment horizontal="center"/>
    </xf>
    <xf borderId="31" fillId="0" fontId="9" numFmtId="0" xfId="0" applyAlignment="1" applyBorder="1" applyFont="1">
      <alignment vertical="bottom"/>
    </xf>
    <xf borderId="31" fillId="0" fontId="9" numFmtId="0" xfId="0" applyAlignment="1" applyBorder="1" applyFont="1">
      <alignment readingOrder="0" vertical="bottom"/>
    </xf>
    <xf borderId="31" fillId="9" fontId="9" numFmtId="0" xfId="0" applyAlignment="1" applyBorder="1" applyFont="1">
      <alignment vertical="bottom"/>
    </xf>
    <xf borderId="9" fillId="0" fontId="12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5" fillId="7" fontId="9" numFmtId="0" xfId="0" applyAlignment="1" applyBorder="1" applyFont="1">
      <alignment horizontal="center" readingOrder="0"/>
    </xf>
    <xf borderId="5" fillId="8" fontId="9" numFmtId="0" xfId="0" applyAlignment="1" applyBorder="1" applyFont="1">
      <alignment horizontal="center"/>
    </xf>
    <xf borderId="34" fillId="0" fontId="9" numFmtId="0" xfId="0" applyAlignment="1" applyBorder="1" applyFont="1">
      <alignment horizontal="center" readingOrder="0"/>
    </xf>
    <xf borderId="35" fillId="6" fontId="9" numFmtId="0" xfId="0" applyAlignment="1" applyBorder="1" applyFont="1">
      <alignment horizontal="center"/>
    </xf>
    <xf borderId="34" fillId="9" fontId="9" numFmtId="0" xfId="0" applyAlignment="1" applyBorder="1" applyFont="1">
      <alignment horizontal="center"/>
    </xf>
    <xf borderId="12" fillId="6" fontId="9" numFmtId="0" xfId="0" applyBorder="1" applyFont="1"/>
    <xf borderId="36" fillId="0" fontId="9" numFmtId="0" xfId="0" applyAlignment="1" applyBorder="1" applyFont="1">
      <alignment horizontal="center" shrinkToFit="0" wrapText="1"/>
    </xf>
    <xf borderId="36" fillId="0" fontId="9" numFmtId="0" xfId="0" applyAlignment="1" applyBorder="1" applyFont="1">
      <alignment horizontal="center"/>
    </xf>
    <xf borderId="9" fillId="0" fontId="12" numFmtId="0" xfId="0" applyAlignment="1" applyBorder="1" applyFont="1">
      <alignment horizontal="center"/>
    </xf>
    <xf borderId="5" fillId="0" fontId="4" numFmtId="0" xfId="0" applyAlignment="1" applyBorder="1" applyFont="1">
      <alignment horizontal="center" readingOrder="0" shrinkToFit="0" wrapText="1"/>
    </xf>
    <xf borderId="22" fillId="0" fontId="9" numFmtId="0" xfId="0" applyAlignment="1" applyBorder="1" applyFont="1">
      <alignment readingOrder="0"/>
    </xf>
    <xf borderId="15" fillId="0" fontId="9" numFmtId="0" xfId="0" applyAlignment="1" applyBorder="1" applyFont="1">
      <alignment horizontal="center"/>
    </xf>
    <xf borderId="6" fillId="0" fontId="9" numFmtId="0" xfId="0" applyAlignment="1" applyBorder="1" applyFont="1">
      <alignment horizontal="center" readingOrder="0" shrinkToFit="0" vertical="center" wrapText="1"/>
    </xf>
    <xf borderId="14" fillId="0" fontId="9" numFmtId="0" xfId="0" applyAlignment="1" applyBorder="1" applyFont="1">
      <alignment horizontal="center" readingOrder="0" vertical="center"/>
    </xf>
    <xf borderId="14" fillId="9" fontId="9" numFmtId="0" xfId="0" applyAlignment="1" applyBorder="1" applyFont="1">
      <alignment horizontal="center" vertical="center"/>
    </xf>
    <xf borderId="5" fillId="0" fontId="9" numFmtId="0" xfId="0" applyBorder="1" applyFont="1"/>
    <xf borderId="0" fillId="0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shrinkToFit="0" vertical="center" wrapText="0"/>
    </xf>
    <xf borderId="0" fillId="7" fontId="9" numFmtId="0" xfId="0" applyAlignment="1" applyFont="1">
      <alignment vertical="center"/>
    </xf>
    <xf borderId="0" fillId="8" fontId="9" numFmtId="0" xfId="0" applyAlignment="1" applyFont="1">
      <alignment vertical="center"/>
    </xf>
    <xf borderId="0" fillId="6" fontId="9" numFmtId="0" xfId="0" applyAlignment="1" applyFont="1">
      <alignment vertical="center"/>
    </xf>
    <xf borderId="13" fillId="0" fontId="12" numFmtId="0" xfId="0" applyAlignment="1" applyBorder="1" applyFont="1">
      <alignment horizontal="center" readingOrder="0" vertical="center"/>
    </xf>
    <xf borderId="14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shrinkToFit="0" vertical="center" wrapText="0"/>
    </xf>
    <xf borderId="11" fillId="6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vertical="center"/>
    </xf>
    <xf borderId="6" fillId="0" fontId="9" numFmtId="0" xfId="0" applyAlignment="1" applyBorder="1" applyFont="1">
      <alignment horizontal="center" shrinkToFit="0" vertical="center" wrapText="1"/>
    </xf>
    <xf borderId="15" fillId="9" fontId="9" numFmtId="0" xfId="0" applyAlignment="1" applyBorder="1" applyFont="1">
      <alignment horizontal="center" vertical="center"/>
    </xf>
    <xf borderId="14" fillId="0" fontId="9" numFmtId="0" xfId="0" applyAlignment="1" applyBorder="1" applyFont="1">
      <alignment vertical="center"/>
    </xf>
    <xf borderId="14" fillId="9" fontId="9" numFmtId="0" xfId="0" applyAlignment="1" applyBorder="1" applyFont="1">
      <alignment vertical="center"/>
    </xf>
    <xf borderId="6" fillId="0" fontId="9" numFmtId="0" xfId="0" applyAlignment="1" applyBorder="1" applyFont="1">
      <alignment vertical="center"/>
    </xf>
    <xf borderId="6" fillId="0" fontId="9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vertical="center"/>
    </xf>
    <xf borderId="6" fillId="0" fontId="9" numFmtId="0" xfId="0" applyAlignment="1" applyBorder="1" applyFont="1">
      <alignment shrinkToFit="0" vertical="center" wrapText="0"/>
    </xf>
    <xf borderId="6" fillId="0" fontId="9" numFmtId="0" xfId="0" applyAlignment="1" applyBorder="1" applyFont="1">
      <alignment horizontal="center" vertical="center"/>
    </xf>
    <xf borderId="6" fillId="9" fontId="9" numFmtId="0" xfId="0" applyAlignment="1" applyBorder="1" applyFont="1">
      <alignment horizontal="center" vertical="center"/>
    </xf>
    <xf borderId="18" fillId="0" fontId="9" numFmtId="0" xfId="0" applyAlignment="1" applyBorder="1" applyFont="1">
      <alignment horizontal="center" vertical="center"/>
    </xf>
    <xf borderId="11" fillId="6" fontId="9" numFmtId="0" xfId="0" applyAlignment="1" applyBorder="1" applyFont="1">
      <alignment vertical="center"/>
    </xf>
    <xf borderId="5" fillId="0" fontId="9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horizontal="center" readingOrder="0" vertical="center"/>
    </xf>
    <xf borderId="6" fillId="9" fontId="9" numFmtId="0" xfId="0" applyAlignment="1" applyBorder="1" applyFont="1">
      <alignment vertical="center"/>
    </xf>
    <xf borderId="6" fillId="0" fontId="9" numFmtId="0" xfId="0" applyAlignment="1" applyBorder="1" applyFont="1">
      <alignment readingOrder="0" vertical="center"/>
    </xf>
    <xf borderId="6" fillId="0" fontId="9" numFmtId="0" xfId="0" applyAlignment="1" applyBorder="1" applyFont="1">
      <alignment vertical="center"/>
    </xf>
    <xf borderId="18" fillId="9" fontId="9" numFmtId="0" xfId="0" applyAlignment="1" applyBorder="1" applyFont="1">
      <alignment vertical="center"/>
    </xf>
    <xf borderId="21" fillId="0" fontId="9" numFmtId="0" xfId="0" applyAlignment="1" applyBorder="1" applyFont="1">
      <alignment vertical="center"/>
    </xf>
    <xf borderId="21" fillId="0" fontId="9" numFmtId="0" xfId="0" applyAlignment="1" applyBorder="1" applyFont="1">
      <alignment horizontal="center" vertical="center"/>
    </xf>
    <xf borderId="21" fillId="0" fontId="9" numFmtId="0" xfId="0" applyAlignment="1" applyBorder="1" applyFont="1">
      <alignment shrinkToFit="0" vertical="center" wrapText="0"/>
    </xf>
    <xf borderId="21" fillId="9" fontId="9" numFmtId="0" xfId="0" applyAlignment="1" applyBorder="1" applyFont="1">
      <alignment horizontal="center" vertical="center"/>
    </xf>
    <xf borderId="22" fillId="0" fontId="9" numFmtId="0" xfId="0" applyAlignment="1" applyBorder="1" applyFont="1">
      <alignment horizontal="center" vertical="center"/>
    </xf>
    <xf borderId="21" fillId="9" fontId="9" numFmtId="0" xfId="0" applyAlignment="1" applyBorder="1" applyFont="1">
      <alignment vertical="center"/>
    </xf>
    <xf borderId="22" fillId="9" fontId="9" numFmtId="0" xfId="0" applyAlignment="1" applyBorder="1" applyFont="1">
      <alignment vertical="center"/>
    </xf>
    <xf borderId="6" fillId="10" fontId="13" numFmtId="49" xfId="0" applyAlignment="1" applyBorder="1" applyFill="1" applyFont="1" applyNumberFormat="1">
      <alignment vertical="bottom"/>
    </xf>
    <xf borderId="6" fillId="10" fontId="9" numFmtId="49" xfId="0" applyAlignment="1" applyBorder="1" applyFont="1" applyNumberFormat="1">
      <alignment vertical="bottom"/>
    </xf>
    <xf borderId="6" fillId="0" fontId="14" numFmtId="49" xfId="0" applyAlignment="1" applyBorder="1" applyFont="1" applyNumberFormat="1">
      <alignment vertical="bottom"/>
    </xf>
    <xf borderId="6" fillId="0" fontId="9" numFmtId="49" xfId="0" applyAlignment="1" applyBorder="1" applyFont="1" applyNumberFormat="1">
      <alignment vertical="bottom"/>
    </xf>
    <xf borderId="0" fillId="0" fontId="9" numFmtId="49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5.38"/>
    <col customWidth="1" min="3" max="3" width="48.0"/>
    <col customWidth="1" min="4" max="4" width="15.25"/>
    <col customWidth="1" min="5" max="6" width="12.25"/>
    <col customWidth="1" min="7" max="7" width="10.0"/>
    <col customWidth="1" min="8" max="8" width="9.0"/>
    <col customWidth="1" min="9" max="9" width="8.88"/>
    <col customWidth="1" min="10" max="10" width="12.5"/>
    <col customWidth="1" min="11" max="11" width="11.88"/>
    <col customWidth="1" min="12" max="12" width="12.63"/>
  </cols>
  <sheetData>
    <row r="1" ht="33.75" customHeight="1">
      <c r="A1" s="1"/>
      <c r="B1" s="2"/>
      <c r="C1" s="3"/>
      <c r="D1" s="2"/>
      <c r="E1" s="3"/>
      <c r="F1" s="3"/>
      <c r="G1" s="3"/>
      <c r="H1" s="3"/>
      <c r="I1" s="3"/>
      <c r="J1" s="2"/>
      <c r="K1" s="3"/>
      <c r="L1" s="3"/>
    </row>
    <row r="2" ht="33.75" customHeight="1">
      <c r="A2" s="4"/>
      <c r="B2" s="5" t="s">
        <v>0</v>
      </c>
      <c r="C2" s="6" t="s">
        <v>1</v>
      </c>
      <c r="D2" s="5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5" t="s">
        <v>8</v>
      </c>
      <c r="K2" s="6" t="s">
        <v>9</v>
      </c>
      <c r="L2" s="6" t="s">
        <v>10</v>
      </c>
    </row>
    <row r="3" ht="33.75" customHeight="1">
      <c r="A3" s="4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>
      <c r="A4" s="8"/>
      <c r="B4" s="9" t="s">
        <v>11</v>
      </c>
      <c r="C4" s="10" t="s">
        <v>12</v>
      </c>
      <c r="D4" s="10" t="s">
        <v>13</v>
      </c>
      <c r="E4" s="10">
        <f>'Imputación TR - Proyecto-Quince'!D3</f>
        <v>225</v>
      </c>
      <c r="F4" s="11">
        <f>'Imputación TR - Proyecto-Quince'!E3</f>
        <v>225</v>
      </c>
      <c r="G4" s="12">
        <f t="shared" ref="G4:G9" si="1">E4-F4</f>
        <v>0</v>
      </c>
      <c r="H4" s="13">
        <v>0.0</v>
      </c>
      <c r="I4" s="11">
        <f t="shared" ref="I4:I10" si="2">E4-H4</f>
        <v>225</v>
      </c>
      <c r="J4" s="10"/>
      <c r="K4" s="10"/>
      <c r="L4" s="10"/>
    </row>
    <row r="5">
      <c r="A5" s="8"/>
      <c r="B5" s="9" t="s">
        <v>11</v>
      </c>
      <c r="C5" s="10" t="s">
        <v>14</v>
      </c>
      <c r="D5" s="10" t="s">
        <v>15</v>
      </c>
      <c r="E5" s="10">
        <f>'Imputación TR - Proyecto-Quince'!D4</f>
        <v>245</v>
      </c>
      <c r="F5" s="11">
        <f>'Imputación TR - Proyecto-Quince'!E4</f>
        <v>245</v>
      </c>
      <c r="G5" s="12">
        <f t="shared" si="1"/>
        <v>0</v>
      </c>
      <c r="H5" s="13">
        <v>0.0</v>
      </c>
      <c r="I5" s="11">
        <f t="shared" si="2"/>
        <v>245</v>
      </c>
      <c r="J5" s="10"/>
      <c r="K5" s="10"/>
      <c r="L5" s="10"/>
    </row>
    <row r="6">
      <c r="A6" s="14"/>
      <c r="B6" s="15" t="s">
        <v>16</v>
      </c>
      <c r="C6" s="16" t="s">
        <v>17</v>
      </c>
      <c r="D6" s="10" t="s">
        <v>18</v>
      </c>
      <c r="E6" s="10">
        <f>'Imputación TR - Proyecto-Quince'!D5</f>
        <v>165</v>
      </c>
      <c r="F6" s="11">
        <f>'Imputación TR - Proyecto-Quince'!E5</f>
        <v>165</v>
      </c>
      <c r="G6" s="12">
        <f t="shared" si="1"/>
        <v>0</v>
      </c>
      <c r="H6" s="13">
        <v>0.0</v>
      </c>
      <c r="I6" s="11">
        <f t="shared" si="2"/>
        <v>165</v>
      </c>
      <c r="J6" s="10"/>
      <c r="K6" s="10"/>
      <c r="L6" s="10"/>
    </row>
    <row r="7">
      <c r="A7" s="14"/>
      <c r="B7" s="15" t="s">
        <v>19</v>
      </c>
      <c r="C7" s="16" t="s">
        <v>20</v>
      </c>
      <c r="D7" s="12" t="s">
        <v>21</v>
      </c>
      <c r="E7" s="10">
        <f>'Imputación TR - Proyecto-Quince'!D6</f>
        <v>0</v>
      </c>
      <c r="F7" s="11">
        <f>'Imputación TR - Proyecto-Quince'!E6</f>
        <v>0</v>
      </c>
      <c r="G7" s="12">
        <f t="shared" si="1"/>
        <v>0</v>
      </c>
      <c r="H7" s="13">
        <v>0.0</v>
      </c>
      <c r="I7" s="11">
        <f t="shared" si="2"/>
        <v>0</v>
      </c>
      <c r="J7" s="13">
        <v>220.0</v>
      </c>
      <c r="K7" s="13">
        <v>220.0</v>
      </c>
      <c r="L7" s="10">
        <f>J7-K7</f>
        <v>0</v>
      </c>
    </row>
    <row r="8">
      <c r="A8" s="14"/>
      <c r="B8" s="15" t="s">
        <v>22</v>
      </c>
      <c r="C8" s="10" t="s">
        <v>23</v>
      </c>
      <c r="D8" s="10" t="s">
        <v>24</v>
      </c>
      <c r="E8" s="10">
        <f>'Imputación TR - Proyecto-Quince'!D7</f>
        <v>805</v>
      </c>
      <c r="F8" s="11">
        <f>'Imputación TR - Proyecto-Quince'!E7</f>
        <v>805</v>
      </c>
      <c r="G8" s="12">
        <f t="shared" si="1"/>
        <v>0</v>
      </c>
      <c r="H8" s="13">
        <v>0.0</v>
      </c>
      <c r="I8" s="11">
        <f t="shared" si="2"/>
        <v>805</v>
      </c>
      <c r="J8" s="17"/>
      <c r="K8" s="17"/>
      <c r="L8" s="17"/>
    </row>
    <row r="9">
      <c r="A9" s="14"/>
      <c r="B9" s="15" t="s">
        <v>25</v>
      </c>
      <c r="C9" s="10" t="s">
        <v>26</v>
      </c>
      <c r="D9" s="10" t="s">
        <v>27</v>
      </c>
      <c r="E9" s="10">
        <f>'Imputación TR - Proyecto-Quince'!D8</f>
        <v>645</v>
      </c>
      <c r="F9" s="11">
        <f>'Imputación TR - Proyecto-Quince'!E8</f>
        <v>645</v>
      </c>
      <c r="G9" s="12">
        <f t="shared" si="1"/>
        <v>0</v>
      </c>
      <c r="H9" s="13">
        <v>0.0</v>
      </c>
      <c r="I9" s="11">
        <f t="shared" si="2"/>
        <v>645</v>
      </c>
      <c r="J9" s="13"/>
      <c r="K9" s="17"/>
      <c r="L9" s="17"/>
    </row>
    <row r="10">
      <c r="A10" s="14"/>
      <c r="B10" s="15" t="s">
        <v>28</v>
      </c>
      <c r="C10" s="10" t="s">
        <v>29</v>
      </c>
      <c r="D10" s="10" t="s">
        <v>30</v>
      </c>
      <c r="E10" s="18">
        <f>'Imputación TR - Proyecto-Quince'!D9</f>
        <v>490</v>
      </c>
      <c r="F10" s="11">
        <f>'Imputación TR - Proyecto-Quince'!E9</f>
        <v>40</v>
      </c>
      <c r="G10" s="19">
        <f>E10-F10-F11-F12-F13</f>
        <v>0</v>
      </c>
      <c r="H10" s="20">
        <v>0.0</v>
      </c>
      <c r="I10" s="21">
        <f t="shared" si="2"/>
        <v>490</v>
      </c>
      <c r="J10" s="18"/>
      <c r="K10" s="18"/>
      <c r="L10" s="18"/>
    </row>
    <row r="11">
      <c r="A11" s="14"/>
      <c r="B11" s="15" t="s">
        <v>28</v>
      </c>
      <c r="C11" s="10" t="s">
        <v>29</v>
      </c>
      <c r="D11" s="10" t="s">
        <v>31</v>
      </c>
      <c r="E11" s="22"/>
      <c r="F11" s="11">
        <f>'Imputación TR - Proyecto-Quince'!E10</f>
        <v>90</v>
      </c>
      <c r="G11" s="22"/>
      <c r="H11" s="22"/>
      <c r="I11" s="22"/>
      <c r="J11" s="22"/>
      <c r="K11" s="22"/>
      <c r="L11" s="22"/>
    </row>
    <row r="12">
      <c r="A12" s="14"/>
      <c r="B12" s="15" t="s">
        <v>28</v>
      </c>
      <c r="C12" s="10" t="s">
        <v>29</v>
      </c>
      <c r="D12" s="10" t="s">
        <v>32</v>
      </c>
      <c r="E12" s="22"/>
      <c r="F12" s="11">
        <f>'Imputación TR - Proyecto-Quince'!E11</f>
        <v>70</v>
      </c>
      <c r="G12" s="22"/>
      <c r="H12" s="22"/>
      <c r="I12" s="22"/>
      <c r="J12" s="22"/>
      <c r="K12" s="22"/>
      <c r="L12" s="22"/>
    </row>
    <row r="13">
      <c r="A13" s="14"/>
      <c r="B13" s="15" t="s">
        <v>28</v>
      </c>
      <c r="C13" s="10" t="s">
        <v>29</v>
      </c>
      <c r="D13" s="10" t="s">
        <v>33</v>
      </c>
      <c r="E13" s="7"/>
      <c r="F13" s="11">
        <f>'Imputación TR - Proyecto-Quince'!E12</f>
        <v>290</v>
      </c>
      <c r="G13" s="7"/>
      <c r="H13" s="7"/>
      <c r="I13" s="7"/>
      <c r="J13" s="7"/>
      <c r="K13" s="7"/>
      <c r="L13" s="7"/>
    </row>
    <row r="14">
      <c r="A14" s="14"/>
      <c r="B14" s="23" t="s">
        <v>34</v>
      </c>
      <c r="C14" s="24" t="s">
        <v>35</v>
      </c>
      <c r="D14" s="24" t="s">
        <v>36</v>
      </c>
      <c r="E14" s="18">
        <f>'Imputación TR - Proyecto-Quince'!D13</f>
        <v>1464</v>
      </c>
      <c r="F14" s="11">
        <f>'Imputación TR - Proyecto-Quince'!E13</f>
        <v>390</v>
      </c>
      <c r="G14" s="19">
        <f>E14-F14-F15</f>
        <v>0</v>
      </c>
      <c r="H14" s="20">
        <v>0.0</v>
      </c>
      <c r="I14" s="21">
        <f>E14-H14</f>
        <v>1464</v>
      </c>
      <c r="J14" s="10"/>
      <c r="K14" s="10"/>
      <c r="L14" s="10"/>
    </row>
    <row r="15">
      <c r="A15" s="14"/>
      <c r="B15" s="23" t="s">
        <v>34</v>
      </c>
      <c r="C15" s="24" t="s">
        <v>37</v>
      </c>
      <c r="D15" s="24" t="s">
        <v>38</v>
      </c>
      <c r="E15" s="7"/>
      <c r="F15" s="11">
        <f>'Imputación TR - Proyecto-Quince'!E14</f>
        <v>1074</v>
      </c>
      <c r="G15" s="7"/>
      <c r="H15" s="7"/>
      <c r="I15" s="7"/>
      <c r="J15" s="10"/>
      <c r="K15" s="10"/>
      <c r="L15" s="10"/>
    </row>
    <row r="16">
      <c r="A16" s="14"/>
      <c r="B16" s="15" t="s">
        <v>39</v>
      </c>
      <c r="C16" s="25" t="s">
        <v>40</v>
      </c>
      <c r="D16" s="10" t="s">
        <v>41</v>
      </c>
      <c r="E16" s="18">
        <f>'Imputación TR - Proyecto-Quince'!D15</f>
        <v>726</v>
      </c>
      <c r="F16" s="11">
        <f>'Imputación TR - Proyecto-Quince'!E15</f>
        <v>435</v>
      </c>
      <c r="G16" s="19">
        <f>E16-F16-F17</f>
        <v>0</v>
      </c>
      <c r="H16" s="20">
        <v>0.0</v>
      </c>
      <c r="I16" s="21">
        <f>E16-H16</f>
        <v>726</v>
      </c>
      <c r="J16" s="18"/>
      <c r="K16" s="18"/>
      <c r="L16" s="18"/>
    </row>
    <row r="17">
      <c r="A17" s="14"/>
      <c r="B17" s="15" t="s">
        <v>39</v>
      </c>
      <c r="C17" s="25" t="s">
        <v>40</v>
      </c>
      <c r="D17" s="10" t="s">
        <v>42</v>
      </c>
      <c r="E17" s="7"/>
      <c r="F17" s="11">
        <f>'Imputación TR - Proyecto-Quince'!E16</f>
        <v>291</v>
      </c>
      <c r="G17" s="7"/>
      <c r="H17" s="7"/>
      <c r="I17" s="7"/>
      <c r="J17" s="7"/>
      <c r="K17" s="7"/>
      <c r="L17" s="7"/>
    </row>
    <row r="18">
      <c r="A18" s="14"/>
      <c r="B18" s="15" t="s">
        <v>43</v>
      </c>
      <c r="C18" s="13" t="s">
        <v>44</v>
      </c>
      <c r="D18" s="10" t="s">
        <v>45</v>
      </c>
      <c r="E18" s="18">
        <v>180.0</v>
      </c>
      <c r="F18" s="11">
        <f>'Imputación TR - Proyecto-Quince'!E17</f>
        <v>65</v>
      </c>
      <c r="G18" s="19">
        <f>E18-F18-F19</f>
        <v>0</v>
      </c>
      <c r="H18" s="20">
        <v>0.0</v>
      </c>
      <c r="I18" s="21">
        <f>E18-H18</f>
        <v>180</v>
      </c>
      <c r="J18" s="10">
        <v>180.0</v>
      </c>
      <c r="K18" s="10">
        <f>F18</f>
        <v>65</v>
      </c>
      <c r="L18" s="10">
        <f>J18-K18</f>
        <v>115</v>
      </c>
    </row>
    <row r="19">
      <c r="A19" s="14"/>
      <c r="B19" s="15" t="s">
        <v>43</v>
      </c>
      <c r="C19" s="13" t="s">
        <v>44</v>
      </c>
      <c r="D19" s="10" t="s">
        <v>46</v>
      </c>
      <c r="E19" s="7"/>
      <c r="F19" s="11">
        <f>'Imputación TR - Proyecto-Quince'!E18</f>
        <v>115</v>
      </c>
      <c r="G19" s="7"/>
      <c r="H19" s="7"/>
      <c r="I19" s="7"/>
      <c r="J19" s="10"/>
      <c r="K19" s="10"/>
      <c r="L19" s="10"/>
    </row>
    <row r="20">
      <c r="A20" s="14"/>
      <c r="B20" s="15" t="s">
        <v>47</v>
      </c>
      <c r="C20" s="10" t="s">
        <v>48</v>
      </c>
      <c r="D20" s="10" t="s">
        <v>49</v>
      </c>
      <c r="E20" s="18">
        <f>'Imputación TR - Proyecto-Quince'!D19</f>
        <v>2200</v>
      </c>
      <c r="F20" s="11">
        <f>'Imputación TR - Proyecto-Quince'!E19</f>
        <v>612</v>
      </c>
      <c r="G20" s="19">
        <f>E20-F20-F21</f>
        <v>0</v>
      </c>
      <c r="H20" s="20">
        <v>0.0</v>
      </c>
      <c r="I20" s="21">
        <f>E20-H20</f>
        <v>2200</v>
      </c>
      <c r="J20" s="18"/>
      <c r="K20" s="18"/>
      <c r="L20" s="18"/>
    </row>
    <row r="21">
      <c r="A21" s="14"/>
      <c r="B21" s="15" t="s">
        <v>47</v>
      </c>
      <c r="C21" s="10" t="s">
        <v>50</v>
      </c>
      <c r="D21" s="10" t="s">
        <v>51</v>
      </c>
      <c r="E21" s="7"/>
      <c r="F21" s="11">
        <f>'Imputación TR - Proyecto-Quince'!E20</f>
        <v>1588</v>
      </c>
      <c r="G21" s="7"/>
      <c r="H21" s="7"/>
      <c r="I21" s="7"/>
      <c r="J21" s="7"/>
      <c r="K21" s="7"/>
      <c r="L21" s="7"/>
    </row>
    <row r="22">
      <c r="A22" s="14"/>
      <c r="B22" s="26" t="s">
        <v>52</v>
      </c>
      <c r="C22" s="10" t="s">
        <v>53</v>
      </c>
      <c r="D22" s="25" t="s">
        <v>54</v>
      </c>
      <c r="E22" s="18">
        <v>726.0</v>
      </c>
      <c r="F22" s="21">
        <f>'Imputación TR - Proyecto-Quince'!E21</f>
        <v>550</v>
      </c>
      <c r="G22" s="19">
        <f>E22-F22-F23</f>
        <v>0</v>
      </c>
      <c r="H22" s="20">
        <v>0.0</v>
      </c>
      <c r="I22" s="21">
        <f>E22-H22</f>
        <v>726</v>
      </c>
      <c r="J22" s="10"/>
      <c r="K22" s="10"/>
      <c r="L22" s="10"/>
    </row>
    <row r="23">
      <c r="A23" s="14"/>
      <c r="B23" s="26" t="s">
        <v>52</v>
      </c>
      <c r="C23" s="10" t="s">
        <v>53</v>
      </c>
      <c r="D23" s="25" t="s">
        <v>55</v>
      </c>
      <c r="E23" s="7"/>
      <c r="F23" s="21">
        <f>'Imputación TR - Proyecto-Quince'!E22</f>
        <v>176</v>
      </c>
      <c r="G23" s="7"/>
      <c r="H23" s="7"/>
      <c r="I23" s="7"/>
      <c r="J23" s="10"/>
      <c r="K23" s="10"/>
      <c r="L23" s="10"/>
    </row>
    <row r="24">
      <c r="A24" s="14"/>
      <c r="B24" s="26" t="s">
        <v>56</v>
      </c>
      <c r="C24" s="24" t="s">
        <v>57</v>
      </c>
      <c r="D24" s="25" t="s">
        <v>58</v>
      </c>
      <c r="E24" s="10">
        <v>129.0</v>
      </c>
      <c r="F24" s="11">
        <f>'Imputación TR - Proyecto-Quince'!E23</f>
        <v>129</v>
      </c>
      <c r="G24" s="12">
        <f t="shared" ref="G24:G25" si="3">E24-F24</f>
        <v>0</v>
      </c>
      <c r="H24" s="20">
        <v>0.0</v>
      </c>
      <c r="I24" s="11">
        <f t="shared" ref="I24:I25" si="4">E24-H24</f>
        <v>129</v>
      </c>
      <c r="J24" s="10"/>
      <c r="K24" s="10"/>
      <c r="L24" s="10"/>
    </row>
    <row r="25">
      <c r="A25" s="14"/>
      <c r="B25" s="26" t="s">
        <v>59</v>
      </c>
      <c r="C25" s="24" t="s">
        <v>60</v>
      </c>
      <c r="D25" s="25" t="s">
        <v>61</v>
      </c>
      <c r="E25" s="10">
        <v>129.0</v>
      </c>
      <c r="F25" s="11">
        <f>'Imputación TR - Proyecto-Quince'!E24</f>
        <v>129</v>
      </c>
      <c r="G25" s="12">
        <f t="shared" si="3"/>
        <v>0</v>
      </c>
      <c r="H25" s="7"/>
      <c r="I25" s="11">
        <f t="shared" si="4"/>
        <v>129</v>
      </c>
      <c r="J25" s="10"/>
      <c r="K25" s="10"/>
      <c r="L25" s="10"/>
    </row>
    <row r="26">
      <c r="A26" s="14"/>
      <c r="B26" s="15" t="s">
        <v>62</v>
      </c>
      <c r="C26" s="10" t="s">
        <v>63</v>
      </c>
      <c r="D26" s="27" t="s">
        <v>64</v>
      </c>
      <c r="E26" s="10" t="str">
        <f>'Imputación TR - Proyecto-Quince'!D25</f>
        <v>NA</v>
      </c>
      <c r="F26" s="11">
        <f>'Imputación TR - Proyecto-Quince'!E25</f>
        <v>4391</v>
      </c>
      <c r="G26" s="28" t="s">
        <v>21</v>
      </c>
      <c r="H26" s="10">
        <v>0.0</v>
      </c>
      <c r="I26" s="28" t="s">
        <v>21</v>
      </c>
      <c r="J26" s="10"/>
      <c r="K26" s="10"/>
      <c r="L26" s="10"/>
    </row>
    <row r="27">
      <c r="A27" s="29"/>
      <c r="B27" s="30"/>
      <c r="C27" s="31"/>
      <c r="D27" s="32"/>
      <c r="E27" s="31"/>
      <c r="F27" s="33"/>
      <c r="G27" s="32"/>
      <c r="H27" s="31"/>
      <c r="I27" s="32"/>
      <c r="J27" s="31"/>
      <c r="K27" s="31"/>
      <c r="L27" s="31"/>
    </row>
  </sheetData>
  <mergeCells count="45">
    <mergeCell ref="E16:E17"/>
    <mergeCell ref="H16:H17"/>
    <mergeCell ref="I16:I17"/>
    <mergeCell ref="J16:J17"/>
    <mergeCell ref="K16:K17"/>
    <mergeCell ref="L16:L17"/>
    <mergeCell ref="E18:E19"/>
    <mergeCell ref="G16:G17"/>
    <mergeCell ref="G18:G19"/>
    <mergeCell ref="E20:E21"/>
    <mergeCell ref="G20:G21"/>
    <mergeCell ref="E22:E23"/>
    <mergeCell ref="G22:G23"/>
    <mergeCell ref="I22:I23"/>
    <mergeCell ref="I2:I3"/>
    <mergeCell ref="J2:J3"/>
    <mergeCell ref="K2:K3"/>
    <mergeCell ref="L2:L3"/>
    <mergeCell ref="B2:B3"/>
    <mergeCell ref="C2:C3"/>
    <mergeCell ref="D2:D3"/>
    <mergeCell ref="E2:E3"/>
    <mergeCell ref="F2:F3"/>
    <mergeCell ref="G2:G3"/>
    <mergeCell ref="H2:H3"/>
    <mergeCell ref="G10:G13"/>
    <mergeCell ref="G14:G15"/>
    <mergeCell ref="H14:H15"/>
    <mergeCell ref="I14:I15"/>
    <mergeCell ref="E10:E13"/>
    <mergeCell ref="H10:H13"/>
    <mergeCell ref="I10:I13"/>
    <mergeCell ref="J10:J13"/>
    <mergeCell ref="K10:K13"/>
    <mergeCell ref="L10:L13"/>
    <mergeCell ref="E14:E15"/>
    <mergeCell ref="H18:H19"/>
    <mergeCell ref="I18:I19"/>
    <mergeCell ref="H20:H21"/>
    <mergeCell ref="I20:I21"/>
    <mergeCell ref="J20:J21"/>
    <mergeCell ref="K20:K21"/>
    <mergeCell ref="L20:L21"/>
    <mergeCell ref="H22:H23"/>
    <mergeCell ref="H24:H25"/>
  </mergeCells>
  <conditionalFormatting sqref="E4:E27 G4:G27 I4:I25 D7 H26:H27">
    <cfRule type="cellIs" dxfId="0" priority="1" operator="equal">
      <formula>0</formula>
    </cfRule>
  </conditionalFormatting>
  <conditionalFormatting sqref="E4:E27 G4:G27 I4:I25 D7 H26:H27">
    <cfRule type="cellIs" dxfId="1" priority="2" operator="lessThan">
      <formula>0</formula>
    </cfRule>
  </conditionalFormatting>
  <conditionalFormatting sqref="E4:E27 G4:G27 I4:I25 D7 H26:H27">
    <cfRule type="cellIs" dxfId="2" priority="3" operator="greater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0"/>
    <col customWidth="1" min="2" max="2" width="52.75"/>
    <col customWidth="1" min="3" max="3" width="16.75"/>
    <col customWidth="1" min="5" max="5" width="12.25"/>
  </cols>
  <sheetData>
    <row r="1" ht="19.5" customHeight="1">
      <c r="A1" s="34" t="s">
        <v>0</v>
      </c>
      <c r="B1" s="35" t="s">
        <v>1</v>
      </c>
      <c r="C1" s="34" t="s">
        <v>2</v>
      </c>
      <c r="D1" s="35" t="s">
        <v>3</v>
      </c>
      <c r="E1" s="35" t="s">
        <v>4</v>
      </c>
      <c r="F1" s="35" t="s">
        <v>5</v>
      </c>
      <c r="G1" s="34" t="s">
        <v>65</v>
      </c>
      <c r="H1" s="34" t="s">
        <v>66</v>
      </c>
      <c r="I1" s="34" t="s">
        <v>67</v>
      </c>
      <c r="J1" s="34" t="s">
        <v>68</v>
      </c>
      <c r="K1" s="34" t="s">
        <v>69</v>
      </c>
      <c r="L1" s="34" t="s">
        <v>70</v>
      </c>
    </row>
    <row r="2" ht="19.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>
      <c r="A3" s="36" t="s">
        <v>11</v>
      </c>
      <c r="B3" s="24" t="s">
        <v>12</v>
      </c>
      <c r="C3" s="24" t="s">
        <v>13</v>
      </c>
      <c r="D3" s="24">
        <v>225.0</v>
      </c>
      <c r="E3" s="37">
        <f t="shared" ref="E3:E25" si="1">SUM(G3:L3)</f>
        <v>225</v>
      </c>
      <c r="F3" s="37">
        <f t="shared" ref="F3:F8" si="2">D3-E3</f>
        <v>0</v>
      </c>
      <c r="G3" s="38">
        <f>SUMIF('Imputación TR - Quincena - Pers'!E:E, C3, 'Imputación TR - Quincena - Pers'!J:J)</f>
        <v>0</v>
      </c>
      <c r="H3" s="39">
        <f>SUMIF('Imputación TR - Quincena - Pers'!AE:AE,C3,'Imputación TR - Quincena - Pers'!AJ:AJ)</f>
        <v>220</v>
      </c>
      <c r="I3" s="39">
        <f>SUMIF('Imputación TR - Quincena - Pers'!BE:BE,C3,'Imputación TR - Quincena - Pers'!BJ:BJ)</f>
        <v>5</v>
      </c>
      <c r="J3" s="38">
        <f>SUMIF('Imputación TR - Quincena - Pers'!CE:CE,C3,'Imputación TR - Quincena - Pers'!CJ:CJ)</f>
        <v>0</v>
      </c>
      <c r="K3" s="38">
        <f>SUMIF('Imputación TR - Quincena - Pers'!DF:DF,C3,'Imputación TR - Quincena - Pers'!DK:DK)</f>
        <v>0</v>
      </c>
      <c r="L3" s="38">
        <f>SUMIF('Imputación TR - Quincena - Pers'!EF:EF,C3,'Imputación TR - Quincena - Pers'!EK:EK)</f>
        <v>0</v>
      </c>
    </row>
    <row r="4">
      <c r="A4" s="36" t="s">
        <v>11</v>
      </c>
      <c r="B4" s="24" t="s">
        <v>14</v>
      </c>
      <c r="C4" s="24" t="s">
        <v>15</v>
      </c>
      <c r="D4" s="24">
        <v>245.0</v>
      </c>
      <c r="E4" s="37">
        <f t="shared" si="1"/>
        <v>245</v>
      </c>
      <c r="F4" s="37">
        <f t="shared" si="2"/>
        <v>0</v>
      </c>
      <c r="G4" s="38">
        <f>SUMIF('Imputación TR - Quincena - Pers'!E:E, C4, 'Imputación TR - Quincena - Pers'!J:J)</f>
        <v>0</v>
      </c>
      <c r="H4" s="39">
        <f>SUMIF('Imputación TR - Quincena - Pers'!AE:AE,C4,'Imputación TR - Quincena - Pers'!AJ:AJ)</f>
        <v>110</v>
      </c>
      <c r="I4" s="39">
        <f>SUMIF('Imputación TR - Quincena - Pers'!BE:BE,C4,'Imputación TR - Quincena - Pers'!BJ:BJ)</f>
        <v>50</v>
      </c>
      <c r="J4" s="38">
        <f>SUMIF('Imputación TR - Quincena - Pers'!CE:CE,C4,'Imputación TR - Quincena - Pers'!CJ:CJ)</f>
        <v>50</v>
      </c>
      <c r="K4" s="38">
        <f>SUMIF('Imputación TR - Quincena - Pers'!DF:DF,C4,'Imputación TR - Quincena - Pers'!DK:DK)</f>
        <v>35</v>
      </c>
      <c r="L4" s="38">
        <f>SUMIF('Imputación TR - Quincena - Pers'!EF:EF,C4,'Imputación TR - Quincena - Pers'!EK:EK)</f>
        <v>0</v>
      </c>
    </row>
    <row r="5">
      <c r="A5" s="23" t="s">
        <v>16</v>
      </c>
      <c r="B5" s="40" t="s">
        <v>17</v>
      </c>
      <c r="C5" s="24" t="s">
        <v>18</v>
      </c>
      <c r="D5" s="24">
        <v>165.0</v>
      </c>
      <c r="E5" s="37">
        <f t="shared" si="1"/>
        <v>165</v>
      </c>
      <c r="F5" s="41">
        <f t="shared" si="2"/>
        <v>0</v>
      </c>
      <c r="G5" s="38">
        <f>SUMIF('Imputación TR - Quincena - Pers'!E:E, C5, 'Imputación TR - Quincena - Pers'!J:J)</f>
        <v>0</v>
      </c>
      <c r="H5" s="39">
        <f>SUMIF('Imputación TR - Quincena - Pers'!AE:AE,C5,'Imputación TR - Quincena - Pers'!AJ:AJ)</f>
        <v>0</v>
      </c>
      <c r="I5" s="39">
        <f>SUMIF('Imputación TR - Quincena - Pers'!BE:BE,C5,'Imputación TR - Quincena - Pers'!BJ:BJ)</f>
        <v>50</v>
      </c>
      <c r="J5" s="38">
        <f>SUMIF('Imputación TR - Quincena - Pers'!CE:CE,C5,'Imputación TR - Quincena - Pers'!CJ:CJ)</f>
        <v>0</v>
      </c>
      <c r="K5" s="38">
        <f>SUMIF('Imputación TR - Quincena - Pers'!DF:DF,C5,'Imputación TR - Quincena - Pers'!DK:DK)</f>
        <v>115</v>
      </c>
      <c r="L5" s="38">
        <f>SUMIF('Imputación TR - Quincena - Pers'!EF:EF,C5,'Imputación TR - Quincena - Pers'!EK:EK)</f>
        <v>0</v>
      </c>
    </row>
    <row r="6">
      <c r="A6" s="23" t="s">
        <v>19</v>
      </c>
      <c r="B6" s="40" t="s">
        <v>20</v>
      </c>
      <c r="C6" s="41" t="s">
        <v>21</v>
      </c>
      <c r="D6" s="24">
        <v>0.0</v>
      </c>
      <c r="E6" s="37">
        <f t="shared" si="1"/>
        <v>0</v>
      </c>
      <c r="F6" s="41">
        <f t="shared" si="2"/>
        <v>0</v>
      </c>
      <c r="G6" s="38">
        <f>SUMIF('Imputación TR - Quincena - Pers'!E:E, C6, 'Imputación TR - Quincena - Pers'!J:J)</f>
        <v>0</v>
      </c>
      <c r="H6" s="39">
        <f>SUMIF('Imputación TR - Quincena - Pers'!AE:AE,C6,'Imputación TR - Quincena - Pers'!AJ:AJ)</f>
        <v>0</v>
      </c>
      <c r="I6" s="39">
        <f>SUMIF('Imputación TR - Quincena - Pers'!BE:BE,C6,'Imputación TR - Quincena - Pers'!BJ:BJ)</f>
        <v>0</v>
      </c>
      <c r="J6" s="38">
        <f>SUMIF('Imputación TR - Quincena - Pers'!CE:CE,C6,'Imputación TR - Quincena - Pers'!CJ:CJ)</f>
        <v>0</v>
      </c>
      <c r="K6" s="38">
        <f>SUMIF('Imputación TR - Quincena - Pers'!DF:DF,C6,'Imputación TR - Quincena - Pers'!DK:DK)</f>
        <v>0</v>
      </c>
      <c r="L6" s="38">
        <f>SUMIF('Imputación TR - Quincena - Pers'!EF:EF,C6,'Imputación TR - Quincena - Pers'!EK:EK)</f>
        <v>0</v>
      </c>
    </row>
    <row r="7">
      <c r="A7" s="23" t="s">
        <v>22</v>
      </c>
      <c r="B7" s="24" t="s">
        <v>23</v>
      </c>
      <c r="C7" s="24" t="s">
        <v>24</v>
      </c>
      <c r="D7" s="24">
        <v>805.0</v>
      </c>
      <c r="E7" s="37">
        <f t="shared" si="1"/>
        <v>805</v>
      </c>
      <c r="F7" s="41">
        <f t="shared" si="2"/>
        <v>0</v>
      </c>
      <c r="G7" s="38">
        <f>SUMIF('Imputación TR - Quincena - Pers'!E:E, C7, 'Imputación TR - Quincena - Pers'!J:J)</f>
        <v>60</v>
      </c>
      <c r="H7" s="39">
        <f>SUMIF('Imputación TR - Quincena - Pers'!AE:AE,C7,'Imputación TR - Quincena - Pers'!AJ:AJ)</f>
        <v>165</v>
      </c>
      <c r="I7" s="39">
        <f>SUMIF('Imputación TR - Quincena - Pers'!BE:BE,C7,'Imputación TR - Quincena - Pers'!BJ:BJ)</f>
        <v>300</v>
      </c>
      <c r="J7" s="38">
        <f>SUMIF('Imputación TR - Quincena - Pers'!CE:CE,C7,'Imputación TR - Quincena - Pers'!CJ:CJ)</f>
        <v>200</v>
      </c>
      <c r="K7" s="38">
        <f>SUMIF('Imputación TR - Quincena - Pers'!DF:DF,C7,'Imputación TR - Quincena - Pers'!DK:DK)</f>
        <v>80</v>
      </c>
      <c r="L7" s="38">
        <f>SUMIF('Imputación TR - Quincena - Pers'!EF:EF,C7,'Imputación TR - Quincena - Pers'!EK:EK)</f>
        <v>0</v>
      </c>
    </row>
    <row r="8">
      <c r="A8" s="23" t="s">
        <v>25</v>
      </c>
      <c r="B8" s="24" t="s">
        <v>26</v>
      </c>
      <c r="C8" s="24" t="s">
        <v>27</v>
      </c>
      <c r="D8" s="24">
        <v>645.0</v>
      </c>
      <c r="E8" s="37">
        <f t="shared" si="1"/>
        <v>645</v>
      </c>
      <c r="F8" s="41">
        <f t="shared" si="2"/>
        <v>0</v>
      </c>
      <c r="G8" s="38">
        <f>SUMIF('Imputación TR - Quincena - Pers'!E:E, C8, 'Imputación TR - Quincena - Pers'!J:J)</f>
        <v>45</v>
      </c>
      <c r="H8" s="39">
        <f>SUMIF('Imputación TR - Quincena - Pers'!AE:AE,C8,'Imputación TR - Quincena - Pers'!AJ:AJ)</f>
        <v>165</v>
      </c>
      <c r="I8" s="39">
        <f>SUMIF('Imputación TR - Quincena - Pers'!BE:BE,C8,'Imputación TR - Quincena - Pers'!BJ:BJ)</f>
        <v>100</v>
      </c>
      <c r="J8" s="38">
        <f>SUMIF('Imputación TR - Quincena - Pers'!CE:CE,C8,'Imputación TR - Quincena - Pers'!CJ:CJ)</f>
        <v>150</v>
      </c>
      <c r="K8" s="38">
        <f>SUMIF('Imputación TR - Quincena - Pers'!DF:DF,C8,'Imputación TR - Quincena - Pers'!DK:DK)</f>
        <v>185</v>
      </c>
      <c r="L8" s="38">
        <f>SUMIF('Imputación TR - Quincena - Pers'!EF:EF,C8,'Imputación TR - Quincena - Pers'!EK:EK)</f>
        <v>0</v>
      </c>
    </row>
    <row r="9">
      <c r="A9" s="23" t="s">
        <v>28</v>
      </c>
      <c r="B9" s="24" t="s">
        <v>29</v>
      </c>
      <c r="C9" s="24" t="s">
        <v>30</v>
      </c>
      <c r="D9" s="42">
        <v>490.0</v>
      </c>
      <c r="E9" s="37">
        <f t="shared" si="1"/>
        <v>40</v>
      </c>
      <c r="F9" s="43">
        <f>D9-E9-E10-E11-E12</f>
        <v>0</v>
      </c>
      <c r="G9" s="38">
        <f>SUMIF('Imputación TR - Quincena - Pers'!E:E, C9, 'Imputación TR - Quincena - Pers'!J:J)</f>
        <v>30</v>
      </c>
      <c r="H9" s="39">
        <f>SUMIF('Imputación TR - Quincena - Pers'!AE:AE,C9,'Imputación TR - Quincena - Pers'!AJ:AJ)</f>
        <v>10</v>
      </c>
      <c r="I9" s="39">
        <f>SUMIF('Imputación TR - Quincena - Pers'!BE:BE,C9,'Imputación TR - Quincena - Pers'!BJ:BJ)</f>
        <v>0</v>
      </c>
      <c r="J9" s="38">
        <f>SUMIF('Imputación TR - Quincena - Pers'!CE:CE,C9,'Imputación TR - Quincena - Pers'!CJ:CJ)</f>
        <v>0</v>
      </c>
      <c r="K9" s="38">
        <f>SUMIF('Imputación TR - Quincena - Pers'!DF:DF,C9,'Imputación TR - Quincena - Pers'!DK:DK)</f>
        <v>0</v>
      </c>
      <c r="L9" s="38">
        <f>SUMIF('Imputación TR - Quincena - Pers'!EF:EF,C9,'Imputación TR - Quincena - Pers'!EK:EK)</f>
        <v>0</v>
      </c>
    </row>
    <row r="10">
      <c r="A10" s="23" t="s">
        <v>28</v>
      </c>
      <c r="B10" s="24" t="s">
        <v>29</v>
      </c>
      <c r="C10" s="24" t="s">
        <v>31</v>
      </c>
      <c r="D10" s="22"/>
      <c r="E10" s="37">
        <f t="shared" si="1"/>
        <v>90</v>
      </c>
      <c r="F10" s="22"/>
      <c r="G10" s="38">
        <f>SUMIF('Imputación TR - Quincena - Pers'!E:E, C10, 'Imputación TR - Quincena - Pers'!J:J)</f>
        <v>0</v>
      </c>
      <c r="H10" s="39">
        <f>SUMIF('Imputación TR - Quincena - Pers'!AE:AE,C10,'Imputación TR - Quincena - Pers'!AJ:AJ)</f>
        <v>40</v>
      </c>
      <c r="I10" s="39">
        <f>SUMIF('Imputación TR - Quincena - Pers'!BE:BE,C10,'Imputación TR - Quincena - Pers'!BJ:BJ)</f>
        <v>50</v>
      </c>
      <c r="J10" s="38">
        <f>SUMIF('Imputación TR - Quincena - Pers'!CE:CE,C10,'Imputación TR - Quincena - Pers'!CJ:CJ)</f>
        <v>0</v>
      </c>
      <c r="K10" s="38">
        <f>SUMIF('Imputación TR - Quincena - Pers'!DF:DF,C10,'Imputación TR - Quincena - Pers'!DK:DK)</f>
        <v>0</v>
      </c>
      <c r="L10" s="38">
        <f>SUMIF('Imputación TR - Quincena - Pers'!EF:EF,C10,'Imputación TR - Quincena - Pers'!EK:EK)</f>
        <v>0</v>
      </c>
    </row>
    <row r="11">
      <c r="A11" s="23" t="s">
        <v>28</v>
      </c>
      <c r="B11" s="24" t="s">
        <v>29</v>
      </c>
      <c r="C11" s="24" t="s">
        <v>32</v>
      </c>
      <c r="D11" s="22"/>
      <c r="E11" s="37">
        <f t="shared" si="1"/>
        <v>70</v>
      </c>
      <c r="F11" s="22"/>
      <c r="G11" s="38">
        <f>SUMIF('Imputación TR - Quincena - Pers'!E:E, C11, 'Imputación TR - Quincena - Pers'!J:J)</f>
        <v>0</v>
      </c>
      <c r="H11" s="39">
        <f>SUMIF('Imputación TR - Quincena - Pers'!AE:AE,C11,'Imputación TR - Quincena - Pers'!AJ:AJ)</f>
        <v>0</v>
      </c>
      <c r="I11" s="39">
        <f>SUMIF('Imputación TR - Quincena - Pers'!BE:BE,C11,'Imputación TR - Quincena - Pers'!BJ:BJ)</f>
        <v>70</v>
      </c>
      <c r="J11" s="38">
        <f>SUMIF('Imputación TR - Quincena - Pers'!CE:CE,C11,'Imputación TR - Quincena - Pers'!CJ:CJ)</f>
        <v>0</v>
      </c>
      <c r="K11" s="38">
        <f>SUMIF('Imputación TR - Quincena - Pers'!DF:DF,C11,'Imputación TR - Quincena - Pers'!DK:DK)</f>
        <v>0</v>
      </c>
      <c r="L11" s="38">
        <f>SUMIF('Imputación TR - Quincena - Pers'!EF:EF,C11,'Imputación TR - Quincena - Pers'!EK:EK)</f>
        <v>0</v>
      </c>
    </row>
    <row r="12">
      <c r="A12" s="23" t="s">
        <v>28</v>
      </c>
      <c r="B12" s="24" t="s">
        <v>29</v>
      </c>
      <c r="C12" s="24" t="s">
        <v>33</v>
      </c>
      <c r="D12" s="7"/>
      <c r="E12" s="37">
        <f t="shared" si="1"/>
        <v>290</v>
      </c>
      <c r="F12" s="7"/>
      <c r="G12" s="38">
        <f>SUMIF('Imputación TR - Quincena - Pers'!E:E, 'Imputación TR - Quincena - Pers'!BE29, 'Imputación TR - Quincena - Pers'!J:J)</f>
        <v>0</v>
      </c>
      <c r="H12" s="39">
        <f>SUMIF('Imputación TR - Quincena - Pers'!AE:AE,'Imputación TR - Quincena - Pers'!BE29,'Imputación TR - Quincena - Pers'!AJ:AJ)</f>
        <v>150</v>
      </c>
      <c r="I12" s="39">
        <f>SUMIF('Imputación TR - Quincena - Pers'!BE:BE,'Imputación TR - Quincena - Pers'!BE29,'Imputación TR - Quincena - Pers'!BJ:BJ)</f>
        <v>48</v>
      </c>
      <c r="J12" s="38">
        <f>SUMIF('Imputación TR - Quincena - Pers'!CE:CE,'Imputación TR - Quincena - Pers'!BE29,'Imputación TR - Quincena - Pers'!CJ:CJ)</f>
        <v>46</v>
      </c>
      <c r="K12" s="38">
        <f>SUMIF('Imputación TR - Quincena - Pers'!DF:DF,'Imputación TR - Quincena - Pers'!BE29,'Imputación TR - Quincena - Pers'!DK:DK)</f>
        <v>46</v>
      </c>
      <c r="L12" s="38">
        <f>SUMIF('Imputación TR - Quincena - Pers'!EF:EF,'Imputación TR - Quincena - Pers'!BE29,'Imputación TR - Quincena - Pers'!EK:EK)</f>
        <v>0</v>
      </c>
    </row>
    <row r="13">
      <c r="A13" s="23" t="s">
        <v>34</v>
      </c>
      <c r="B13" s="24" t="s">
        <v>35</v>
      </c>
      <c r="C13" s="24" t="s">
        <v>36</v>
      </c>
      <c r="D13" s="42">
        <v>1464.0</v>
      </c>
      <c r="E13" s="37">
        <f t="shared" si="1"/>
        <v>390</v>
      </c>
      <c r="F13" s="43">
        <f>D13-E13-E14</f>
        <v>0</v>
      </c>
      <c r="G13" s="38">
        <f>SUMIF('Imputación TR - Quincena - Pers'!E:E, C13, 'Imputación TR - Quincena - Pers'!J:J)</f>
        <v>0</v>
      </c>
      <c r="H13" s="39">
        <f>SUMIF('Imputación TR - Quincena - Pers'!AE:AE,C13,'Imputación TR - Quincena - Pers'!AJ:AJ)</f>
        <v>0</v>
      </c>
      <c r="I13" s="39">
        <f>SUMIF('Imputación TR - Quincena - Pers'!BE:BE,C13,'Imputación TR - Quincena - Pers'!BJ:BJ)</f>
        <v>175</v>
      </c>
      <c r="J13" s="38">
        <f>SUMIF('Imputación TR - Quincena - Pers'!CE:CE,C13,'Imputación TR - Quincena - Pers'!CJ:CJ)</f>
        <v>150</v>
      </c>
      <c r="K13" s="38">
        <f>SUMIF('Imputación TR - Quincena - Pers'!DF:DF,C13,'Imputación TR - Quincena - Pers'!DK:DK)</f>
        <v>65</v>
      </c>
      <c r="L13" s="38">
        <f>SUMIF('Imputación TR - Quincena - Pers'!EF:EF,C13,'Imputación TR - Quincena - Pers'!EK:EK)</f>
        <v>0</v>
      </c>
    </row>
    <row r="14">
      <c r="A14" s="23" t="s">
        <v>34</v>
      </c>
      <c r="B14" s="24" t="s">
        <v>37</v>
      </c>
      <c r="C14" s="24" t="s">
        <v>38</v>
      </c>
      <c r="D14" s="22"/>
      <c r="E14" s="37">
        <f t="shared" si="1"/>
        <v>1074</v>
      </c>
      <c r="F14" s="7"/>
      <c r="G14" s="38">
        <f>SUMIF('Imputación TR - Quincena - Pers'!E:E, C14, 'Imputación TR - Quincena - Pers'!J:J)</f>
        <v>0</v>
      </c>
      <c r="H14" s="39">
        <f>SUMIF('Imputación TR - Quincena - Pers'!AE:AE,C14,'Imputación TR - Quincena - Pers'!AJ:AJ)</f>
        <v>0</v>
      </c>
      <c r="I14" s="39">
        <f>SUMIF('Imputación TR - Quincena - Pers'!BE:BE,C14,'Imputación TR - Quincena - Pers'!BJ:BJ)</f>
        <v>450</v>
      </c>
      <c r="J14" s="38">
        <f>SUMIF('Imputación TR - Quincena - Pers'!CE:CE,C14,'Imputación TR - Quincena - Pers'!CJ:CJ)</f>
        <v>350</v>
      </c>
      <c r="K14" s="38">
        <f>SUMIF('Imputación TR - Quincena - Pers'!DF:DF,C14,'Imputación TR - Quincena - Pers'!DK:DK)</f>
        <v>135</v>
      </c>
      <c r="L14" s="38">
        <f>SUMIF('Imputación TR - Quincena - Pers'!EF:EF,C14,'Imputación TR - Quincena - Pers'!EK:EK)</f>
        <v>139</v>
      </c>
    </row>
    <row r="15">
      <c r="A15" s="26" t="s">
        <v>39</v>
      </c>
      <c r="B15" s="44" t="s">
        <v>40</v>
      </c>
      <c r="C15" s="24" t="s">
        <v>41</v>
      </c>
      <c r="D15" s="42">
        <v>726.0</v>
      </c>
      <c r="E15" s="37">
        <f t="shared" si="1"/>
        <v>435</v>
      </c>
      <c r="F15" s="43">
        <f>D15-E15-E16</f>
        <v>0</v>
      </c>
      <c r="G15" s="38">
        <f>SUMIF('Imputación TR - Quincena - Pers'!E:E, C15, 'Imputación TR - Quincena - Pers'!J:J)</f>
        <v>15</v>
      </c>
      <c r="H15" s="39">
        <f>SUMIF('Imputación TR - Quincena - Pers'!AE:AE,C15,'Imputación TR - Quincena - Pers'!AJ:AJ)</f>
        <v>220</v>
      </c>
      <c r="I15" s="39">
        <f>SUMIF('Imputación TR - Quincena - Pers'!BE:BE,C15,'Imputación TR - Quincena - Pers'!BJ:BJ)</f>
        <v>200</v>
      </c>
      <c r="J15" s="38">
        <f>SUMIF('Imputación TR - Quincena - Pers'!CE:CE,C15,'Imputación TR - Quincena - Pers'!CJ:CJ)</f>
        <v>0</v>
      </c>
      <c r="K15" s="38">
        <f>SUMIF('Imputación TR - Quincena - Pers'!DF:DF,C15,'Imputación TR - Quincena - Pers'!DK:DK)</f>
        <v>0</v>
      </c>
      <c r="L15" s="38">
        <f>SUMIF('Imputación TR - Quincena - Pers'!EF:EF,C15,'Imputación TR - Quincena - Pers'!EK:EK)</f>
        <v>0</v>
      </c>
    </row>
    <row r="16">
      <c r="A16" s="26" t="s">
        <v>39</v>
      </c>
      <c r="B16" s="44" t="s">
        <v>40</v>
      </c>
      <c r="C16" s="24" t="s">
        <v>42</v>
      </c>
      <c r="D16" s="7"/>
      <c r="E16" s="37">
        <f t="shared" si="1"/>
        <v>291</v>
      </c>
      <c r="F16" s="7"/>
      <c r="G16" s="38">
        <f>SUMIF('Imputación TR - Quincena - Pers'!E:E, C16, 'Imputación TR - Quincena - Pers'!J:J)</f>
        <v>30</v>
      </c>
      <c r="H16" s="39">
        <f>SUMIF('Imputación TR - Quincena - Pers'!AE:AE,C16,'Imputación TR - Quincena - Pers'!AJ:AJ)</f>
        <v>110</v>
      </c>
      <c r="I16" s="39">
        <f>SUMIF('Imputación TR - Quincena - Pers'!BE:BE,C16,'Imputación TR - Quincena - Pers'!BJ:BJ)</f>
        <v>50</v>
      </c>
      <c r="J16" s="38">
        <f>SUMIF('Imputación TR - Quincena - Pers'!CE:CE,C16,'Imputación TR - Quincena - Pers'!CJ:CJ)</f>
        <v>50</v>
      </c>
      <c r="K16" s="38">
        <f>SUMIF('Imputación TR - Quincena - Pers'!DF:DF,C16,'Imputación TR - Quincena - Pers'!DK:DK)</f>
        <v>51</v>
      </c>
      <c r="L16" s="38">
        <f>SUMIF('Imputación TR - Quincena - Pers'!EF:EF,C16,'Imputación TR - Quincena - Pers'!EK:EK)</f>
        <v>0</v>
      </c>
    </row>
    <row r="17">
      <c r="A17" s="23" t="s">
        <v>43</v>
      </c>
      <c r="B17" s="45" t="s">
        <v>44</v>
      </c>
      <c r="C17" s="24" t="s">
        <v>45</v>
      </c>
      <c r="D17" s="42">
        <v>180.0</v>
      </c>
      <c r="E17" s="37">
        <f t="shared" si="1"/>
        <v>65</v>
      </c>
      <c r="F17" s="43">
        <f>D17-E17-E18</f>
        <v>0</v>
      </c>
      <c r="G17" s="38">
        <f>SUMIF('Imputación TR - Quincena - Pers'!E:E, C17, 'Imputación TR - Quincena - Pers'!J:J)</f>
        <v>0</v>
      </c>
      <c r="H17" s="39">
        <f>SUMIF('Imputación TR - Quincena - Pers'!AE:AE,C17,'Imputación TR - Quincena - Pers'!AJ:AJ)</f>
        <v>0</v>
      </c>
      <c r="I17" s="39">
        <f>SUMIF('Imputación TR - Quincena - Pers'!BE:BE,C17,'Imputación TR - Quincena - Pers'!BJ:BJ)</f>
        <v>0</v>
      </c>
      <c r="J17" s="38">
        <f>SUMIF('Imputación TR - Quincena - Pers'!CE:CE,C17,'Imputación TR - Quincena - Pers'!CJ:CJ)</f>
        <v>0</v>
      </c>
      <c r="K17" s="38">
        <f>SUMIF('Imputación TR - Quincena - Pers'!DF:DF,C17,'Imputación TR - Quincena - Pers'!DK:DK)</f>
        <v>65</v>
      </c>
      <c r="L17" s="38">
        <f>SUMIF('Imputación TR - Quincena - Pers'!EF:EF,C17,'Imputación TR - Quincena - Pers'!EK:EK)</f>
        <v>0</v>
      </c>
    </row>
    <row r="18">
      <c r="A18" s="15" t="s">
        <v>43</v>
      </c>
      <c r="B18" s="13" t="s">
        <v>44</v>
      </c>
      <c r="C18" s="10" t="s">
        <v>46</v>
      </c>
      <c r="D18" s="7"/>
      <c r="E18" s="37">
        <f t="shared" si="1"/>
        <v>115</v>
      </c>
      <c r="F18" s="7"/>
      <c r="G18" s="38">
        <f>SUMIF('Imputación TR - Quincena - Pers'!E:E, C18, 'Imputación TR - Quincena - Pers'!J:J)</f>
        <v>0</v>
      </c>
      <c r="H18" s="39">
        <f>SUMIF('Imputación TR - Quincena - Pers'!AE:AE,C18,'Imputación TR - Quincena - Pers'!AJ:AJ)</f>
        <v>0</v>
      </c>
      <c r="I18" s="39">
        <f>SUMIF('Imputación TR - Quincena - Pers'!BE:BE,C18,'Imputación TR - Quincena - Pers'!BJ:BJ)</f>
        <v>0</v>
      </c>
      <c r="J18" s="38">
        <f>SUMIF('Imputación TR - Quincena - Pers'!CE:CE,C18,'Imputación TR - Quincena - Pers'!CJ:CJ)</f>
        <v>0</v>
      </c>
      <c r="K18" s="38">
        <f>SUMIF('Imputación TR - Quincena - Pers'!DF:DF,C18,'Imputación TR - Quincena - Pers'!DK:DK)</f>
        <v>0</v>
      </c>
      <c r="L18" s="38">
        <f>SUMIF('Imputación TR - Quincena - Pers'!EF:EF,C18,'Imputación TR - Quincena - Pers'!EK:EK)</f>
        <v>115</v>
      </c>
    </row>
    <row r="19">
      <c r="A19" s="26" t="s">
        <v>47</v>
      </c>
      <c r="B19" s="24" t="s">
        <v>48</v>
      </c>
      <c r="C19" s="10" t="s">
        <v>49</v>
      </c>
      <c r="D19" s="43">
        <v>2200.0</v>
      </c>
      <c r="E19" s="37">
        <f t="shared" si="1"/>
        <v>612</v>
      </c>
      <c r="F19" s="43">
        <f>D19-E19-E20</f>
        <v>0</v>
      </c>
      <c r="G19" s="38">
        <f>SUMIF('Imputación TR - Quincena - Pers'!E:E, C19, 'Imputación TR - Quincena - Pers'!J:J)</f>
        <v>0</v>
      </c>
      <c r="H19" s="39">
        <f>SUMIF('Imputación TR - Quincena - Pers'!AE:AE,C19,'Imputación TR - Quincena - Pers'!AJ:AJ)</f>
        <v>220</v>
      </c>
      <c r="I19" s="39">
        <f>SUMIF('Imputación TR - Quincena - Pers'!BE:BE,C19,'Imputación TR - Quincena - Pers'!BJ:BJ)</f>
        <v>300</v>
      </c>
      <c r="J19" s="38">
        <f>SUMIF('Imputación TR - Quincena - Pers'!CE:CE,C19,'Imputación TR - Quincena - Pers'!CJ:CJ)</f>
        <v>50</v>
      </c>
      <c r="K19" s="38">
        <f>SUMIF('Imputación TR - Quincena - Pers'!DF:DF,C19,'Imputación TR - Quincena - Pers'!DK:DK)</f>
        <v>42</v>
      </c>
      <c r="L19" s="38">
        <f>SUMIF('Imputación TR - Quincena - Pers'!EF:EF,C19,'Imputación TR - Quincena - Pers'!EK:EK)</f>
        <v>0</v>
      </c>
    </row>
    <row r="20">
      <c r="A20" s="26" t="s">
        <v>47</v>
      </c>
      <c r="B20" s="24" t="s">
        <v>50</v>
      </c>
      <c r="C20" s="24" t="s">
        <v>51</v>
      </c>
      <c r="D20" s="7"/>
      <c r="E20" s="37">
        <f t="shared" si="1"/>
        <v>1588</v>
      </c>
      <c r="F20" s="7"/>
      <c r="G20" s="38">
        <f>SUMIF('Imputación TR - Quincena - Pers'!E:E, C20, 'Imputación TR - Quincena - Pers'!J:J)</f>
        <v>90</v>
      </c>
      <c r="H20" s="39">
        <f>SUMIF('Imputación TR - Quincena - Pers'!AE:AE,C20,'Imputación TR - Quincena - Pers'!AJ:AJ)</f>
        <v>330</v>
      </c>
      <c r="I20" s="39">
        <f>SUMIF('Imputación TR - Quincena - Pers'!BE:BE,C20,'Imputación TR - Quincena - Pers'!BJ:BJ)</f>
        <v>525</v>
      </c>
      <c r="J20" s="38">
        <f>SUMIF('Imputación TR - Quincena - Pers'!CE:CE,C20,'Imputación TR - Quincena - Pers'!CJ:CJ)</f>
        <v>500</v>
      </c>
      <c r="K20" s="38">
        <f>SUMIF('Imputación TR - Quincena - Pers'!DF:DF,C20,'Imputación TR - Quincena - Pers'!DK:DK)</f>
        <v>143</v>
      </c>
      <c r="L20" s="38">
        <f>SUMIF('Imputación TR - Quincena - Pers'!EF:EF,C20,'Imputación TR - Quincena - Pers'!EK:EK)</f>
        <v>0</v>
      </c>
    </row>
    <row r="21">
      <c r="A21" s="26" t="s">
        <v>52</v>
      </c>
      <c r="B21" s="24" t="s">
        <v>53</v>
      </c>
      <c r="C21" s="25" t="s">
        <v>54</v>
      </c>
      <c r="D21" s="43">
        <v>726.0</v>
      </c>
      <c r="E21" s="37">
        <f t="shared" si="1"/>
        <v>550</v>
      </c>
      <c r="F21" s="43">
        <f>D21-E21-E22</f>
        <v>0</v>
      </c>
      <c r="G21" s="38">
        <f>SUMIF('Imputación TR - Quincena - Pers'!E:E, C21, 'Imputación TR - Quincena - Pers'!J:J)</f>
        <v>0</v>
      </c>
      <c r="H21" s="39">
        <f>SUMIF('Imputación TR - Quincena - Pers'!AE:AE,C21,'Imputación TR - Quincena - Pers'!AJ:AJ)</f>
        <v>0</v>
      </c>
      <c r="I21" s="39">
        <f>SUMIF('Imputación TR - Quincena - Pers'!BE:BE,C21,'Imputación TR - Quincena - Pers'!BJ:BJ)</f>
        <v>50</v>
      </c>
      <c r="J21" s="38">
        <f>SUMIF('Imputación TR - Quincena - Pers'!CE:CE,C21,'Imputación TR - Quincena - Pers'!CJ:CJ)</f>
        <v>500</v>
      </c>
      <c r="K21" s="38">
        <f>SUMIF('Imputación TR - Quincena - Pers'!DF:DF,C21,'Imputación TR - Quincena - Pers'!DK:DK)</f>
        <v>0</v>
      </c>
      <c r="L21" s="38">
        <f>SUMIF('Imputación TR - Quincena - Pers'!EF:EF,C21,'Imputación TR - Quincena - Pers'!EK:EK)</f>
        <v>0</v>
      </c>
    </row>
    <row r="22">
      <c r="A22" s="26" t="s">
        <v>52</v>
      </c>
      <c r="B22" s="24" t="s">
        <v>53</v>
      </c>
      <c r="C22" s="10" t="s">
        <v>55</v>
      </c>
      <c r="D22" s="7"/>
      <c r="E22" s="37">
        <f t="shared" si="1"/>
        <v>176</v>
      </c>
      <c r="F22" s="7"/>
      <c r="G22" s="38">
        <f>SUMIF('Imputación TR - Quincena - Pers'!E:E, C22, 'Imputación TR - Quincena - Pers'!J:J)</f>
        <v>0</v>
      </c>
      <c r="H22" s="39">
        <f>SUMIF('Imputación TR - Quincena - Pers'!AE:AE,C22,'Imputación TR - Quincena - Pers'!AJ:AJ)</f>
        <v>0</v>
      </c>
      <c r="I22" s="39">
        <f>SUMIF('Imputación TR - Quincena - Pers'!BE:BE,C22,'Imputación TR - Quincena - Pers'!BJ:BJ)</f>
        <v>0</v>
      </c>
      <c r="J22" s="38">
        <f>SUMIF('Imputación TR - Quincena - Pers'!CE:CE,C22,'Imputación TR - Quincena - Pers'!CJ:CJ)</f>
        <v>0</v>
      </c>
      <c r="K22" s="38">
        <f>SUMIF('Imputación TR - Quincena - Pers'!DF:DF,C22,'Imputación TR - Quincena - Pers'!DK:DK)</f>
        <v>176</v>
      </c>
      <c r="L22" s="38">
        <f>SUMIF('Imputación TR - Quincena - Pers'!EF:EF,C22,'Imputación TR - Quincena - Pers'!EK:EK)</f>
        <v>0</v>
      </c>
    </row>
    <row r="23">
      <c r="A23" s="26" t="s">
        <v>56</v>
      </c>
      <c r="B23" s="24" t="s">
        <v>57</v>
      </c>
      <c r="C23" s="25" t="s">
        <v>58</v>
      </c>
      <c r="D23" s="41">
        <v>129.0</v>
      </c>
      <c r="E23" s="37">
        <f t="shared" si="1"/>
        <v>129</v>
      </c>
      <c r="F23" s="41">
        <f t="shared" ref="F23:F24" si="3">D23-E23</f>
        <v>0</v>
      </c>
      <c r="G23" s="38">
        <f>SUMIF('Imputación TR - Quincena - Pers'!E:E, C23, 'Imputación TR - Quincena - Pers'!J:J)</f>
        <v>0</v>
      </c>
      <c r="H23" s="39">
        <f>SUMIF('Imputación TR - Quincena - Pers'!AE:AE,C23,'Imputación TR - Quincena - Pers'!AJ:AJ)</f>
        <v>0</v>
      </c>
      <c r="I23" s="39">
        <f>SUMIF('Imputación TR - Quincena - Pers'!BE:BE,C23,'Imputación TR - Quincena - Pers'!BJ:BJ)</f>
        <v>0</v>
      </c>
      <c r="J23" s="38">
        <f>SUMIF('Imputación TR - Quincena - Pers'!CE:CE,C23,'Imputación TR - Quincena - Pers'!CJ:CJ)</f>
        <v>0</v>
      </c>
      <c r="K23" s="38">
        <f>SUMIF('Imputación TR - Quincena - Pers'!DF:DF,C23,'Imputación TR - Quincena - Pers'!DK:DK)</f>
        <v>45</v>
      </c>
      <c r="L23" s="38">
        <f>SUMIF('Imputación TR - Quincena - Pers'!EF:EF,C23,'Imputación TR - Quincena - Pers'!EK:EK)</f>
        <v>84</v>
      </c>
    </row>
    <row r="24">
      <c r="A24" s="26" t="s">
        <v>59</v>
      </c>
      <c r="B24" s="24" t="s">
        <v>60</v>
      </c>
      <c r="C24" s="25" t="s">
        <v>61</v>
      </c>
      <c r="D24" s="41">
        <v>129.0</v>
      </c>
      <c r="E24" s="37">
        <f t="shared" si="1"/>
        <v>129</v>
      </c>
      <c r="F24" s="41">
        <f t="shared" si="3"/>
        <v>0</v>
      </c>
      <c r="G24" s="38">
        <f>SUMIF('Imputación TR - Quincena - Pers'!E:E, C24, 'Imputación TR - Quincena - Pers'!J:J)</f>
        <v>0</v>
      </c>
      <c r="H24" s="39">
        <f>SUMIF('Imputación TR - Quincena - Pers'!AE:AE,C24,'Imputación TR - Quincena - Pers'!AJ:AJ)</f>
        <v>0</v>
      </c>
      <c r="I24" s="39">
        <f>SUMIF('Imputación TR - Quincena - Pers'!BE:BE,C24,'Imputación TR - Quincena - Pers'!BJ:BJ)</f>
        <v>0</v>
      </c>
      <c r="J24" s="38">
        <f>SUMIF('Imputación TR - Quincena - Pers'!CE:CE,C24,'Imputación TR - Quincena - Pers'!CJ:CJ)</f>
        <v>0</v>
      </c>
      <c r="K24" s="38">
        <f>SUMIF('Imputación TR - Quincena - Pers'!DF:DF,C24,'Imputación TR - Quincena - Pers'!DK:DK)</f>
        <v>0</v>
      </c>
      <c r="L24" s="38">
        <f>SUMIF('Imputación TR - Quincena - Pers'!EF:EF,C24,'Imputación TR - Quincena - Pers'!EK:EK)</f>
        <v>129</v>
      </c>
    </row>
    <row r="25">
      <c r="A25" s="23" t="s">
        <v>62</v>
      </c>
      <c r="B25" s="24" t="s">
        <v>63</v>
      </c>
      <c r="C25" s="46" t="s">
        <v>64</v>
      </c>
      <c r="D25" s="41" t="s">
        <v>21</v>
      </c>
      <c r="E25" s="37">
        <f t="shared" si="1"/>
        <v>4391</v>
      </c>
      <c r="F25" s="41" t="s">
        <v>21</v>
      </c>
      <c r="G25" s="38">
        <f>SUMIF('Imputación TR - Quincena - Pers'!D:D, C25, 'Imputación TR - Quincena - Pers'!J:J)</f>
        <v>1464</v>
      </c>
      <c r="H25" s="39">
        <f>SUMIF('Imputación TR - Quincena - Pers'!AD:AD,C25,'Imputación TR - Quincena - Pers'!AJ:AJ)</f>
        <v>401</v>
      </c>
      <c r="I25" s="39">
        <f>SUMIF('Imputación TR - Quincena - Pers'!BD:BD,C25,'Imputación TR - Quincena - Pers'!BJ:BJ)</f>
        <v>87</v>
      </c>
      <c r="J25" s="38">
        <f>SUMIF('Imputación TR - Quincena - Pers'!CD:CD,C25,'Imputación TR - Quincena - Pers'!CJ:CJ)</f>
        <v>168</v>
      </c>
      <c r="K25" s="38">
        <f>SUMIF('Imputación TR - Quincena - Pers'!DE:DE,C25,'Imputación TR - Quincena - Pers'!DK:DK)</f>
        <v>857</v>
      </c>
      <c r="L25" s="38">
        <f>SUMIF('Imputación TR - Quincena - Pers'!EE:EE,C25,'Imputación TR - Quincena - Pers'!EK:EK)</f>
        <v>1414</v>
      </c>
    </row>
  </sheetData>
  <mergeCells count="24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  <mergeCell ref="D17:D18"/>
    <mergeCell ref="D19:D20"/>
    <mergeCell ref="D21:D22"/>
    <mergeCell ref="F19:F20"/>
    <mergeCell ref="F21:F22"/>
    <mergeCell ref="D9:D12"/>
    <mergeCell ref="F9:F12"/>
    <mergeCell ref="D13:D14"/>
    <mergeCell ref="F13:F14"/>
    <mergeCell ref="D15:D16"/>
    <mergeCell ref="F15:F16"/>
    <mergeCell ref="F17:F18"/>
  </mergeCells>
  <conditionalFormatting sqref="D3:D25 F3:F25 C6">
    <cfRule type="cellIs" dxfId="0" priority="1" operator="equal">
      <formula>0</formula>
    </cfRule>
  </conditionalFormatting>
  <conditionalFormatting sqref="D3:D25 F3:F25 C6">
    <cfRule type="cellIs" dxfId="1" priority="2" operator="lessThan">
      <formula>0</formula>
    </cfRule>
  </conditionalFormatting>
  <conditionalFormatting sqref="D3:D25 F3:F25 C6">
    <cfRule type="cellIs" dxfId="2" priority="3" operator="greater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hidden="1" min="1" max="1" width="17.25"/>
    <col customWidth="1" hidden="1" min="2" max="2" width="14.0"/>
    <col customWidth="1" hidden="1" min="3" max="3" width="52.5"/>
    <col customWidth="1" hidden="1" min="4" max="4" width="14.75"/>
    <col customWidth="1" hidden="1" min="5" max="5" width="11.13"/>
    <col customWidth="1" hidden="1" min="6" max="6" width="15.38"/>
    <col customWidth="1" hidden="1" min="7" max="7" width="40.63"/>
    <col customWidth="1" hidden="1" min="8" max="8" width="36.88"/>
    <col customWidth="1" hidden="1" min="9" max="9" width="6.5"/>
    <col customWidth="1" hidden="1" min="10" max="10" width="17.88"/>
    <col customWidth="1" hidden="1" min="11" max="25" width="4.75"/>
    <col customWidth="1" hidden="1" min="26" max="26" width="2.13"/>
    <col customWidth="1" hidden="1" min="27" max="27" width="17.25"/>
    <col customWidth="1" hidden="1" min="28" max="28" width="15.5"/>
    <col customWidth="1" hidden="1" min="29" max="29" width="38.75"/>
    <col customWidth="1" hidden="1" min="30" max="30" width="13.5"/>
    <col customWidth="1" hidden="1" min="31" max="31" width="11.13"/>
    <col customWidth="1" hidden="1" min="32" max="32" width="15.38"/>
    <col customWidth="1" hidden="1" min="33" max="33" width="41.63"/>
    <col customWidth="1" hidden="1" min="34" max="34" width="36.88"/>
    <col customWidth="1" hidden="1" min="35" max="35" width="6.5"/>
    <col customWidth="1" hidden="1" min="36" max="36" width="17.88"/>
    <col customWidth="1" hidden="1" min="37" max="51" width="4.75"/>
    <col customWidth="1" hidden="1" min="52" max="52" width="2.13"/>
    <col customWidth="1" hidden="1" min="53" max="53" width="17.25"/>
    <col customWidth="1" hidden="1" min="54" max="54" width="9.0"/>
    <col customWidth="1" hidden="1" min="55" max="55" width="45.13"/>
    <col customWidth="1" hidden="1" min="56" max="56" width="17.13"/>
    <col customWidth="1" hidden="1" min="57" max="57" width="11.13"/>
    <col customWidth="1" hidden="1" min="58" max="58" width="15.38"/>
    <col customWidth="1" hidden="1" min="59" max="59" width="38.13"/>
    <col customWidth="1" hidden="1" min="60" max="60" width="36.88"/>
    <col customWidth="1" hidden="1" min="61" max="61" width="17.38"/>
    <col customWidth="1" hidden="1" min="62" max="62" width="15.38"/>
    <col customWidth="1" hidden="1" min="63" max="77" width="4.75"/>
    <col customWidth="1" hidden="1" min="78" max="78" width="1.63"/>
    <col customWidth="1" hidden="1" min="79" max="79" width="17.25"/>
    <col customWidth="1" hidden="1" min="80" max="80" width="14.0"/>
    <col customWidth="1" hidden="1" min="81" max="81" width="40.13"/>
    <col customWidth="1" hidden="1" min="82" max="82" width="13.88"/>
    <col customWidth="1" hidden="1" min="83" max="83" width="11.13"/>
    <col customWidth="1" hidden="1" min="84" max="84" width="16.5"/>
    <col customWidth="1" hidden="1" min="85" max="85" width="38.0"/>
    <col customWidth="1" hidden="1" min="86" max="86" width="36.88"/>
    <col customWidth="1" hidden="1" min="87" max="87" width="19.38"/>
    <col customWidth="1" hidden="1" min="88" max="88" width="17.88"/>
    <col customWidth="1" hidden="1" min="89" max="90" width="4.38"/>
    <col customWidth="1" hidden="1" min="91" max="91" width="4.25"/>
    <col customWidth="1" hidden="1" min="92" max="104" width="4.75"/>
    <col customWidth="1" hidden="1" min="105" max="105" width="2.13"/>
    <col customWidth="1" hidden="1" min="106" max="106" width="17.25"/>
    <col customWidth="1" hidden="1" min="107" max="107" width="14.0"/>
    <col customWidth="1" hidden="1" min="108" max="108" width="43.13"/>
    <col customWidth="1" hidden="1" min="109" max="109" width="14.88"/>
    <col customWidth="1" hidden="1" min="110" max="110" width="12.38"/>
    <col customWidth="1" hidden="1" min="111" max="111" width="15.38"/>
    <col customWidth="1" hidden="1" min="112" max="112" width="40.88"/>
    <col customWidth="1" hidden="1" min="113" max="113" width="39.5"/>
    <col customWidth="1" hidden="1" min="114" max="114" width="6.5"/>
    <col customWidth="1" hidden="1" min="115" max="115" width="15.38"/>
    <col customWidth="1" hidden="1" min="116" max="129" width="4.75"/>
    <col customWidth="1" hidden="1" min="130" max="130" width="5.13"/>
    <col customWidth="1" hidden="1" min="131" max="131" width="2.0"/>
    <col customWidth="1" min="132" max="132" width="17.25"/>
    <col customWidth="1" min="133" max="133" width="14.0"/>
    <col customWidth="1" min="134" max="134" width="38.75"/>
    <col customWidth="1" min="135" max="135" width="13.63"/>
    <col customWidth="1" min="136" max="137" width="11.13"/>
    <col customWidth="1" min="138" max="138" width="42.5"/>
    <col customWidth="1" min="139" max="139" width="36.88"/>
    <col customWidth="1" min="140" max="140" width="18.13"/>
    <col customWidth="1" min="141" max="141" width="17.88"/>
    <col customWidth="1" min="142" max="156" width="4.75"/>
  </cols>
  <sheetData>
    <row r="1" ht="46.5" customHeight="1">
      <c r="A1" s="47" t="s">
        <v>71</v>
      </c>
      <c r="B1" s="48" t="s">
        <v>0</v>
      </c>
      <c r="C1" s="48" t="s">
        <v>72</v>
      </c>
      <c r="D1" s="49"/>
      <c r="E1" s="48" t="s">
        <v>73</v>
      </c>
      <c r="F1" s="48" t="s">
        <v>74</v>
      </c>
      <c r="G1" s="48" t="s">
        <v>75</v>
      </c>
      <c r="H1" s="48" t="s">
        <v>76</v>
      </c>
      <c r="I1" s="50" t="s">
        <v>77</v>
      </c>
      <c r="J1" s="48" t="s">
        <v>78</v>
      </c>
      <c r="K1" s="51">
        <v>46113.0</v>
      </c>
      <c r="L1" s="51">
        <v>46114.0</v>
      </c>
      <c r="M1" s="51">
        <v>46115.0</v>
      </c>
      <c r="N1" s="51">
        <v>46116.0</v>
      </c>
      <c r="O1" s="51">
        <v>46117.0</v>
      </c>
      <c r="P1" s="51">
        <v>46118.0</v>
      </c>
      <c r="Q1" s="51">
        <v>46119.0</v>
      </c>
      <c r="R1" s="51">
        <v>46120.0</v>
      </c>
      <c r="S1" s="51">
        <v>46121.0</v>
      </c>
      <c r="T1" s="51">
        <v>46122.0</v>
      </c>
      <c r="U1" s="51">
        <v>46123.0</v>
      </c>
      <c r="V1" s="51">
        <v>46124.0</v>
      </c>
      <c r="W1" s="51">
        <v>46125.0</v>
      </c>
      <c r="X1" s="51">
        <v>46126.0</v>
      </c>
      <c r="Y1" s="51">
        <v>46127.0</v>
      </c>
      <c r="Z1" s="52"/>
      <c r="AA1" s="47" t="s">
        <v>71</v>
      </c>
      <c r="AB1" s="48" t="s">
        <v>0</v>
      </c>
      <c r="AC1" s="48" t="s">
        <v>72</v>
      </c>
      <c r="AD1" s="53"/>
      <c r="AE1" s="48" t="s">
        <v>73</v>
      </c>
      <c r="AF1" s="48" t="s">
        <v>74</v>
      </c>
      <c r="AG1" s="48" t="s">
        <v>75</v>
      </c>
      <c r="AH1" s="48" t="s">
        <v>76</v>
      </c>
      <c r="AI1" s="50" t="s">
        <v>77</v>
      </c>
      <c r="AJ1" s="48" t="s">
        <v>78</v>
      </c>
      <c r="AK1" s="51">
        <v>46128.0</v>
      </c>
      <c r="AL1" s="51">
        <v>46129.0</v>
      </c>
      <c r="AM1" s="51">
        <v>46130.0</v>
      </c>
      <c r="AN1" s="51">
        <v>46131.0</v>
      </c>
      <c r="AO1" s="51">
        <v>46132.0</v>
      </c>
      <c r="AP1" s="51">
        <v>46133.0</v>
      </c>
      <c r="AQ1" s="51">
        <v>46134.0</v>
      </c>
      <c r="AR1" s="51">
        <v>46135.0</v>
      </c>
      <c r="AS1" s="51">
        <v>46136.0</v>
      </c>
      <c r="AT1" s="51">
        <v>46137.0</v>
      </c>
      <c r="AU1" s="51">
        <v>46138.0</v>
      </c>
      <c r="AV1" s="51">
        <v>46139.0</v>
      </c>
      <c r="AW1" s="51">
        <v>46140.0</v>
      </c>
      <c r="AX1" s="51">
        <v>46141.0</v>
      </c>
      <c r="AY1" s="51">
        <v>46142.0</v>
      </c>
      <c r="AZ1" s="52"/>
      <c r="BA1" s="47" t="s">
        <v>71</v>
      </c>
      <c r="BB1" s="48" t="s">
        <v>0</v>
      </c>
      <c r="BC1" s="48" t="s">
        <v>72</v>
      </c>
      <c r="BD1" s="53"/>
      <c r="BE1" s="48" t="s">
        <v>73</v>
      </c>
      <c r="BF1" s="48" t="s">
        <v>74</v>
      </c>
      <c r="BG1" s="48" t="s">
        <v>75</v>
      </c>
      <c r="BH1" s="48" t="s">
        <v>76</v>
      </c>
      <c r="BI1" s="50" t="s">
        <v>77</v>
      </c>
      <c r="BJ1" s="48" t="s">
        <v>78</v>
      </c>
      <c r="BK1" s="51">
        <v>46143.0</v>
      </c>
      <c r="BL1" s="51">
        <v>46144.0</v>
      </c>
      <c r="BM1" s="51">
        <v>46145.0</v>
      </c>
      <c r="BN1" s="51">
        <v>46146.0</v>
      </c>
      <c r="BO1" s="51">
        <v>46147.0</v>
      </c>
      <c r="BP1" s="51">
        <v>46148.0</v>
      </c>
      <c r="BQ1" s="51">
        <v>46149.0</v>
      </c>
      <c r="BR1" s="51">
        <v>46150.0</v>
      </c>
      <c r="BS1" s="51">
        <v>46151.0</v>
      </c>
      <c r="BT1" s="51">
        <v>46152.0</v>
      </c>
      <c r="BU1" s="51">
        <v>46153.0</v>
      </c>
      <c r="BV1" s="51">
        <v>46154.0</v>
      </c>
      <c r="BW1" s="51">
        <v>46155.0</v>
      </c>
      <c r="BX1" s="51">
        <v>46156.0</v>
      </c>
      <c r="BY1" s="51">
        <v>46157.0</v>
      </c>
      <c r="BZ1" s="52"/>
      <c r="CA1" s="47" t="s">
        <v>71</v>
      </c>
      <c r="CB1" s="48" t="s">
        <v>0</v>
      </c>
      <c r="CC1" s="48" t="s">
        <v>72</v>
      </c>
      <c r="CD1" s="53"/>
      <c r="CE1" s="48" t="s">
        <v>73</v>
      </c>
      <c r="CF1" s="48" t="s">
        <v>74</v>
      </c>
      <c r="CG1" s="48" t="s">
        <v>75</v>
      </c>
      <c r="CH1" s="48" t="s">
        <v>76</v>
      </c>
      <c r="CI1" s="50" t="s">
        <v>77</v>
      </c>
      <c r="CJ1" s="48" t="s">
        <v>78</v>
      </c>
      <c r="CK1" s="51">
        <v>46158.0</v>
      </c>
      <c r="CL1" s="51">
        <v>46159.0</v>
      </c>
      <c r="CM1" s="51">
        <v>46160.0</v>
      </c>
      <c r="CN1" s="51">
        <v>46161.0</v>
      </c>
      <c r="CO1" s="51">
        <v>46162.0</v>
      </c>
      <c r="CP1" s="51">
        <v>46163.0</v>
      </c>
      <c r="CQ1" s="51">
        <v>46164.0</v>
      </c>
      <c r="CR1" s="51">
        <v>46165.0</v>
      </c>
      <c r="CS1" s="51">
        <v>46166.0</v>
      </c>
      <c r="CT1" s="51">
        <v>46167.0</v>
      </c>
      <c r="CU1" s="51">
        <v>46168.0</v>
      </c>
      <c r="CV1" s="51">
        <v>46169.0</v>
      </c>
      <c r="CW1" s="51">
        <v>46170.0</v>
      </c>
      <c r="CX1" s="51">
        <v>46171.0</v>
      </c>
      <c r="CY1" s="51">
        <v>46172.0</v>
      </c>
      <c r="CZ1" s="51">
        <v>46173.0</v>
      </c>
      <c r="DA1" s="52"/>
      <c r="DB1" s="47" t="s">
        <v>71</v>
      </c>
      <c r="DC1" s="48" t="s">
        <v>0</v>
      </c>
      <c r="DD1" s="48" t="s">
        <v>72</v>
      </c>
      <c r="DE1" s="53"/>
      <c r="DF1" s="48" t="s">
        <v>73</v>
      </c>
      <c r="DG1" s="48" t="s">
        <v>74</v>
      </c>
      <c r="DH1" s="48" t="s">
        <v>75</v>
      </c>
      <c r="DI1" s="48" t="s">
        <v>76</v>
      </c>
      <c r="DJ1" s="50" t="s">
        <v>77</v>
      </c>
      <c r="DK1" s="48" t="s">
        <v>78</v>
      </c>
      <c r="DL1" s="51">
        <v>46174.0</v>
      </c>
      <c r="DM1" s="51">
        <v>46175.0</v>
      </c>
      <c r="DN1" s="51">
        <v>46176.0</v>
      </c>
      <c r="DO1" s="51">
        <v>46177.0</v>
      </c>
      <c r="DP1" s="51">
        <v>46178.0</v>
      </c>
      <c r="DQ1" s="51">
        <v>46179.0</v>
      </c>
      <c r="DR1" s="51">
        <v>46180.0</v>
      </c>
      <c r="DS1" s="51">
        <v>46181.0</v>
      </c>
      <c r="DT1" s="51">
        <v>46182.0</v>
      </c>
      <c r="DU1" s="51">
        <v>46183.0</v>
      </c>
      <c r="DV1" s="51">
        <v>46184.0</v>
      </c>
      <c r="DW1" s="51">
        <v>46185.0</v>
      </c>
      <c r="DX1" s="51">
        <v>46186.0</v>
      </c>
      <c r="DY1" s="51">
        <v>46187.0</v>
      </c>
      <c r="DZ1" s="51">
        <v>46188.0</v>
      </c>
      <c r="EA1" s="54"/>
      <c r="EB1" s="47" t="s">
        <v>71</v>
      </c>
      <c r="EC1" s="48" t="s">
        <v>0</v>
      </c>
      <c r="ED1" s="48" t="s">
        <v>72</v>
      </c>
      <c r="EE1" s="53"/>
      <c r="EF1" s="48" t="s">
        <v>73</v>
      </c>
      <c r="EG1" s="48" t="s">
        <v>74</v>
      </c>
      <c r="EH1" s="48" t="s">
        <v>75</v>
      </c>
      <c r="EI1" s="48" t="s">
        <v>76</v>
      </c>
      <c r="EJ1" s="50" t="s">
        <v>77</v>
      </c>
      <c r="EK1" s="48" t="s">
        <v>78</v>
      </c>
      <c r="EL1" s="51">
        <v>46189.0</v>
      </c>
      <c r="EM1" s="51">
        <v>46190.0</v>
      </c>
      <c r="EN1" s="51">
        <v>46191.0</v>
      </c>
      <c r="EO1" s="51">
        <v>46192.0</v>
      </c>
      <c r="EP1" s="51">
        <v>46193.0</v>
      </c>
      <c r="EQ1" s="51">
        <v>46194.0</v>
      </c>
      <c r="ER1" s="51">
        <v>46195.0</v>
      </c>
      <c r="ES1" s="51">
        <v>46196.0</v>
      </c>
      <c r="ET1" s="51">
        <v>46197.0</v>
      </c>
      <c r="EU1" s="51">
        <v>46198.0</v>
      </c>
      <c r="EV1" s="51">
        <v>46199.0</v>
      </c>
      <c r="EW1" s="51">
        <v>46200.0</v>
      </c>
      <c r="EX1" s="51">
        <v>46201.0</v>
      </c>
      <c r="EY1" s="51">
        <v>46202.0</v>
      </c>
      <c r="EZ1" s="51">
        <v>46203.0</v>
      </c>
    </row>
    <row r="2" ht="18.0" customHeight="1">
      <c r="A2" s="55" t="s">
        <v>79</v>
      </c>
      <c r="B2" s="56"/>
      <c r="C2" s="56"/>
      <c r="D2" s="57" t="s">
        <v>64</v>
      </c>
      <c r="E2" s="58"/>
      <c r="F2" s="58"/>
      <c r="G2" s="57" t="s">
        <v>80</v>
      </c>
      <c r="H2" s="59" t="s">
        <v>81</v>
      </c>
      <c r="I2" s="60" t="s">
        <v>82</v>
      </c>
      <c r="J2" s="57">
        <f t="shared" ref="J2:J3" si="1">SUM(K2:Y2)</f>
        <v>87</v>
      </c>
      <c r="K2" s="61">
        <v>9.0</v>
      </c>
      <c r="L2" s="62">
        <v>9.0</v>
      </c>
      <c r="M2" s="62"/>
      <c r="N2" s="63"/>
      <c r="O2" s="63"/>
      <c r="P2" s="64">
        <v>9.0</v>
      </c>
      <c r="Q2" s="64">
        <v>9.0</v>
      </c>
      <c r="R2" s="64">
        <v>9.0</v>
      </c>
      <c r="S2" s="64">
        <v>9.0</v>
      </c>
      <c r="T2" s="64">
        <v>6.0</v>
      </c>
      <c r="U2" s="63"/>
      <c r="V2" s="63"/>
      <c r="W2" s="64">
        <v>9.0</v>
      </c>
      <c r="X2" s="64">
        <v>9.0</v>
      </c>
      <c r="Y2" s="65">
        <v>9.0</v>
      </c>
      <c r="Z2" s="66"/>
      <c r="AA2" s="55" t="s">
        <v>79</v>
      </c>
      <c r="AB2" s="67" t="str">
        <f t="array" ref="AB2">IFERROR(INDEX('Resument Total - Ofertas Proyec'!$B:$B,MATCH(AE2,'Resument Total - Ofertas Proyec'!$D:$D,0)),"")</f>
        <v>SDATOOL-49742</v>
      </c>
      <c r="AC2" s="67" t="str">
        <f t="array" ref="AC2">IFERROR(INDEX('Imputación TR - Proyecto-Quince'!$B:$B,MATCH(AE2,'Imputación TR - Proyecto-Quince'!$C:$C,0)),"")</f>
        <v>BRS. Fase 2. Colas MQ + Control M</v>
      </c>
      <c r="AD2" s="68"/>
      <c r="AE2" s="24" t="s">
        <v>33</v>
      </c>
      <c r="AF2" s="46" t="str">
        <f t="shared" ref="AF2:AF3" si="2">IF(AI2="Otras Tecnologías","GoldenSource","")</f>
        <v/>
      </c>
      <c r="AG2" s="69" t="s">
        <v>83</v>
      </c>
      <c r="AH2" s="64" t="s">
        <v>81</v>
      </c>
      <c r="AI2" s="70" t="str">
        <f t="shared" ref="AI2:AI3" si="3">IF(OR(AH2="Codificación",AH2="Pruebas"),"Otras Tecnologías","-")</f>
        <v>-</v>
      </c>
      <c r="AJ2" s="46">
        <f t="shared" ref="AJ2:AJ3" si="4">SUM(AK2:AY2)</f>
        <v>23</v>
      </c>
      <c r="AK2" s="71">
        <v>5.0</v>
      </c>
      <c r="AL2" s="72"/>
      <c r="AM2" s="73"/>
      <c r="AN2" s="73"/>
      <c r="AO2" s="71"/>
      <c r="AP2" s="72"/>
      <c r="AQ2" s="72"/>
      <c r="AR2" s="72"/>
      <c r="AS2" s="72"/>
      <c r="AT2" s="73"/>
      <c r="AU2" s="73"/>
      <c r="AV2" s="71">
        <v>9.0</v>
      </c>
      <c r="AW2" s="71">
        <v>9.0</v>
      </c>
      <c r="AX2" s="71"/>
      <c r="AY2" s="71"/>
      <c r="AZ2" s="74"/>
      <c r="BA2" s="55" t="s">
        <v>79</v>
      </c>
      <c r="BB2" s="67" t="str">
        <f t="array" ref="BB2">IFERROR(INDEX('Resument Total - Ofertas Proyec'!$B:$B,MATCH(BE2,'Resument Total - Ofertas Proyec'!$D:$D,0)),"")</f>
        <v>SDATOOL-51125</v>
      </c>
      <c r="BC2" s="67" t="str">
        <f t="array" ref="BC2">IFERROR(INDEX('Imputación TR - Proyecto-Quince'!$B:$B,MATCH(BE2,'Imputación TR - Proyecto-Quince'!$C:$C,0)),"")</f>
        <v>Migración FX y MM. Apagado Midas - CLS</v>
      </c>
      <c r="BD2" s="75"/>
      <c r="BE2" s="76" t="s">
        <v>36</v>
      </c>
      <c r="BF2" s="46" t="str">
        <f t="shared" ref="BF2:BF3" si="5">IF(BI2="Otras Tecnologías","GoldenSource","")</f>
        <v/>
      </c>
      <c r="BG2" s="77" t="s">
        <v>83</v>
      </c>
      <c r="BH2" s="78" t="s">
        <v>81</v>
      </c>
      <c r="BI2" s="60" t="str">
        <f t="shared" ref="BI2:BI3" si="6">IF(OR(BH2="Codificación",BH2="Pruebas"),"Otras Tecnologías","-")</f>
        <v>-</v>
      </c>
      <c r="BJ2" s="57">
        <f t="shared" ref="BJ2:BJ26" si="7">SUM(BK2:BY2)</f>
        <v>50</v>
      </c>
      <c r="BK2" s="79"/>
      <c r="BL2" s="80"/>
      <c r="BM2" s="80"/>
      <c r="BN2" s="64">
        <v>10.0</v>
      </c>
      <c r="BO2" s="64">
        <v>10.0</v>
      </c>
      <c r="BP2" s="64">
        <v>10.0</v>
      </c>
      <c r="BQ2" s="64">
        <v>10.0</v>
      </c>
      <c r="BR2" s="64">
        <v>10.0</v>
      </c>
      <c r="BS2" s="80"/>
      <c r="BT2" s="80"/>
      <c r="BU2" s="64"/>
      <c r="BV2" s="64"/>
      <c r="BW2" s="64"/>
      <c r="BX2" s="64"/>
      <c r="BY2" s="64"/>
      <c r="BZ2" s="66"/>
      <c r="CA2" s="55" t="s">
        <v>79</v>
      </c>
      <c r="CB2" s="67" t="str">
        <f t="array" ref="CB2">IFERROR(INDEX('Resument Total - Ofertas Proyec'!$B:$B,MATCH(CE2,'Resument Total - Ofertas Proyec'!$D:$D,0)),"")</f>
        <v/>
      </c>
      <c r="CC2" s="67" t="str">
        <f t="array" ref="CC2">IFERROR(INDEX('Imputación TR - Proyecto-Quince'!$B:$B,MATCH(CE2,'Imputación TR - Proyecto-Quince'!$C:$C,0)),"")</f>
        <v/>
      </c>
      <c r="CD2" s="57" t="s">
        <v>64</v>
      </c>
      <c r="CE2" s="58"/>
      <c r="CF2" s="68" t="str">
        <f t="shared" ref="CF2:CF3" si="8">IF(CI2="Otras Tecnologías","GoldenSource","")</f>
        <v/>
      </c>
      <c r="CG2" s="57" t="s">
        <v>80</v>
      </c>
      <c r="CH2" s="59" t="s">
        <v>81</v>
      </c>
      <c r="CI2" s="70" t="str">
        <f t="shared" ref="CI2:CI3" si="9">IF(OR(CH2="Codificación",CH2="Pruebas"),"Otras Tecnologías","-")</f>
        <v>-</v>
      </c>
      <c r="CJ2" s="57">
        <f t="shared" ref="CJ2:CJ3" si="10">SUM(CK2:CZ2)</f>
        <v>84</v>
      </c>
      <c r="CK2" s="80"/>
      <c r="CL2" s="80"/>
      <c r="CM2" s="64">
        <v>9.0</v>
      </c>
      <c r="CN2" s="64">
        <v>9.0</v>
      </c>
      <c r="CO2" s="64">
        <v>9.0</v>
      </c>
      <c r="CP2" s="64">
        <v>9.0</v>
      </c>
      <c r="CQ2" s="64">
        <v>6.0</v>
      </c>
      <c r="CR2" s="80"/>
      <c r="CS2" s="80"/>
      <c r="CT2" s="64">
        <v>9.0</v>
      </c>
      <c r="CU2" s="64">
        <v>9.0</v>
      </c>
      <c r="CV2" s="64">
        <v>9.0</v>
      </c>
      <c r="CW2" s="64">
        <v>9.0</v>
      </c>
      <c r="CX2" s="64">
        <v>6.0</v>
      </c>
      <c r="CY2" s="80"/>
      <c r="CZ2" s="81"/>
      <c r="DA2" s="66"/>
      <c r="DB2" s="55" t="s">
        <v>79</v>
      </c>
      <c r="DC2" s="67" t="str">
        <f t="array" ref="DC2">IFERROR(INDEX('Resument Total - Ofertas Proyec'!$B:$B,MATCH(DF2,'Resument Total - Ofertas Proyec'!$D:$D,0)),"")</f>
        <v/>
      </c>
      <c r="DD2" s="67" t="str">
        <f t="array" ref="DD2">IFERROR(INDEX('Imputación TR - Proyecto-Quince'!$B:$B,MATCH(DF2,'Imputación TR - Proyecto-Quince'!$C:$C,0)),"")</f>
        <v/>
      </c>
      <c r="DE2" s="57" t="s">
        <v>64</v>
      </c>
      <c r="DF2" s="58"/>
      <c r="DG2" s="68" t="str">
        <f t="shared" ref="DG2:DG3" si="11">IF(DJ2="Otras Tecnologías","GoldenSource","")</f>
        <v/>
      </c>
      <c r="DH2" s="57" t="s">
        <v>80</v>
      </c>
      <c r="DI2" s="59" t="s">
        <v>81</v>
      </c>
      <c r="DJ2" s="60" t="str">
        <f t="shared" ref="DJ2:DJ3" si="12">IF(OR(DI2="Codificación",DI2="Pruebas"),"Otras Tecnologías","-")</f>
        <v>-</v>
      </c>
      <c r="DK2" s="57">
        <f t="shared" ref="DK2:DK3" si="13">SUM(DL2:EA2)</f>
        <v>69</v>
      </c>
      <c r="DL2" s="64">
        <v>9.0</v>
      </c>
      <c r="DM2" s="64">
        <v>9.0</v>
      </c>
      <c r="DN2" s="64">
        <v>9.0</v>
      </c>
      <c r="DO2" s="64">
        <v>9.0</v>
      </c>
      <c r="DP2" s="64">
        <v>6.0</v>
      </c>
      <c r="DQ2" s="80"/>
      <c r="DR2" s="80"/>
      <c r="DS2" s="64">
        <v>9.0</v>
      </c>
      <c r="DT2" s="64">
        <v>9.0</v>
      </c>
      <c r="DU2" s="64">
        <v>9.0</v>
      </c>
      <c r="DV2" s="64"/>
      <c r="DW2" s="64"/>
      <c r="DX2" s="82"/>
      <c r="DY2" s="82"/>
      <c r="DZ2" s="83"/>
      <c r="EA2" s="66"/>
      <c r="EB2" s="55" t="s">
        <v>79</v>
      </c>
      <c r="EC2" s="67" t="str">
        <f t="array" ref="EC2">IFERROR(INDEX('Resument Total - Ofertas Proyec'!$B:$B,MATCH(EF2,'Resument Total - Ofertas Proyec'!$D:$D,0)),"")</f>
        <v>SDATOOL-34723</v>
      </c>
      <c r="ED2" s="67" t="str">
        <f t="array" ref="ED2">IFERROR(INDEX('Imputación TR - Proyecto-Quince'!$B:$B,MATCH(EF2,'Imputación TR - Proyecto-Quince'!$C:$C,0)),"")</f>
        <v>Calypso Filter</v>
      </c>
      <c r="EE2" s="58"/>
      <c r="EF2" s="84" t="s">
        <v>58</v>
      </c>
      <c r="EG2" s="84" t="str">
        <f t="shared" ref="EG2:EG8" si="14">IF(EJ2="Otras Tecnologías","GoldenSource","")</f>
        <v/>
      </c>
      <c r="EH2" s="85" t="s">
        <v>82</v>
      </c>
      <c r="EI2" s="86"/>
      <c r="EJ2" s="60" t="str">
        <f t="shared" ref="EJ2:EJ3" si="15">IF(OR(EI2="Codificación",EI2="Pruebas"),"Otras Tecnologías","-")</f>
        <v>-</v>
      </c>
      <c r="EK2" s="57">
        <f t="shared" ref="EK2:EK3" si="16">SUM(EL2:EZ2)</f>
        <v>72</v>
      </c>
      <c r="EL2" s="64">
        <v>18.0</v>
      </c>
      <c r="EM2" s="64">
        <v>18.0</v>
      </c>
      <c r="EN2" s="64">
        <v>18.0</v>
      </c>
      <c r="EO2" s="64">
        <v>18.0</v>
      </c>
      <c r="EP2" s="80"/>
      <c r="EQ2" s="80"/>
      <c r="ER2" s="64"/>
      <c r="ES2" s="64"/>
      <c r="ET2" s="83"/>
      <c r="EU2" s="83"/>
      <c r="EV2" s="83"/>
      <c r="EW2" s="82"/>
      <c r="EX2" s="82"/>
      <c r="EY2" s="87"/>
      <c r="EZ2" s="87"/>
    </row>
    <row r="3" ht="18.0" customHeight="1">
      <c r="A3" s="88"/>
      <c r="B3" s="46" t="str">
        <f t="array" ref="B3">IFERROR(INDEX('Imputación TR - Proyecto-Quince'!$A:$A,MATCH(E3,'Imputación TR - Proyecto-Quince'!$C:$C,0)),"")</f>
        <v/>
      </c>
      <c r="C3" s="46" t="str">
        <f t="array" ref="C3">IFERROR(INDEX('Imputación TR - Proyecto-Quince'!$B:$B,MATCH(E3,'Imputación TR - Proyecto-Quince'!$C:$C,0)),"")</f>
        <v/>
      </c>
      <c r="D3" s="72"/>
      <c r="E3" s="68"/>
      <c r="F3" s="46" t="str">
        <f>IF(I3="Otras Tecnologías","GoldenSource","")</f>
        <v/>
      </c>
      <c r="G3" s="76"/>
      <c r="H3" s="71"/>
      <c r="I3" s="70" t="str">
        <f>IF(OR(H3="Codificación",H3="Pruebas"),"Otras Tecnologías","-")</f>
        <v>-</v>
      </c>
      <c r="J3" s="46">
        <f t="shared" si="1"/>
        <v>0</v>
      </c>
      <c r="K3" s="89"/>
      <c r="L3" s="90"/>
      <c r="M3" s="90"/>
      <c r="N3" s="91"/>
      <c r="O3" s="91"/>
      <c r="P3" s="92"/>
      <c r="Q3" s="92"/>
      <c r="R3" s="89"/>
      <c r="S3" s="89"/>
      <c r="T3" s="89"/>
      <c r="U3" s="91"/>
      <c r="V3" s="91"/>
      <c r="W3" s="92"/>
      <c r="X3" s="92"/>
      <c r="Y3" s="93"/>
      <c r="Z3" s="94"/>
      <c r="AA3" s="88"/>
      <c r="AB3" s="46" t="str">
        <f t="array" ref="AB3">IFERROR(INDEX('Resument Total - Ofertas Proyec'!$B:$B,MATCH(AE3,'Resument Total - Ofertas Proyec'!$D:$D,0)),"")</f>
        <v/>
      </c>
      <c r="AC3" s="46" t="str">
        <f t="array" ref="AC3">IFERROR(INDEX('Imputación TR - Proyecto-Quince'!$B:$B,MATCH(AE3,'Imputación TR - Proyecto-Quince'!$C:$C,0)),"")</f>
        <v/>
      </c>
      <c r="AD3" s="75" t="s">
        <v>64</v>
      </c>
      <c r="AE3" s="95"/>
      <c r="AF3" s="46" t="str">
        <f t="shared" si="2"/>
        <v/>
      </c>
      <c r="AG3" s="75" t="s">
        <v>80</v>
      </c>
      <c r="AH3" s="78" t="s">
        <v>81</v>
      </c>
      <c r="AI3" s="96" t="str">
        <f t="shared" si="3"/>
        <v>-</v>
      </c>
      <c r="AJ3" s="46">
        <f t="shared" si="4"/>
        <v>71</v>
      </c>
      <c r="AK3" s="71">
        <v>5.0</v>
      </c>
      <c r="AL3" s="71">
        <v>6.0</v>
      </c>
      <c r="AM3" s="97"/>
      <c r="AN3" s="97"/>
      <c r="AO3" s="98">
        <v>9.0</v>
      </c>
      <c r="AP3" s="98">
        <v>9.0</v>
      </c>
      <c r="AQ3" s="98">
        <v>9.0</v>
      </c>
      <c r="AR3" s="98">
        <v>9.0</v>
      </c>
      <c r="AS3" s="98">
        <v>6.0</v>
      </c>
      <c r="AT3" s="97"/>
      <c r="AU3" s="97"/>
      <c r="AV3" s="98"/>
      <c r="AW3" s="98"/>
      <c r="AX3" s="71">
        <v>9.0</v>
      </c>
      <c r="AY3" s="71">
        <v>9.0</v>
      </c>
      <c r="AZ3" s="94"/>
      <c r="BA3" s="88"/>
      <c r="BB3" s="46" t="str">
        <f t="array" ref="BB3">IFERROR(INDEX('Resument Total - Ofertas Proyec'!$B:$B,MATCH(BE3,'Resument Total - Ofertas Proyec'!$D:$D,0)),"")</f>
        <v>SDATOOL-51125</v>
      </c>
      <c r="BC3" s="46" t="str">
        <f t="array" ref="BC3">IFERROR(INDEX('Imputación TR - Proyecto-Quince'!$B:$B,MATCH(BE3,'Imputación TR - Proyecto-Quince'!$C:$C,0)),"")</f>
        <v>Migración FX y MM. Apagado Midas - CLS</v>
      </c>
      <c r="BD3" s="68"/>
      <c r="BE3" s="76" t="s">
        <v>36</v>
      </c>
      <c r="BF3" s="46" t="str">
        <f t="shared" si="5"/>
        <v>GoldenSource</v>
      </c>
      <c r="BG3" s="76" t="s">
        <v>83</v>
      </c>
      <c r="BH3" s="71" t="s">
        <v>84</v>
      </c>
      <c r="BI3" s="70" t="str">
        <f t="shared" si="6"/>
        <v>Otras Tecnologías</v>
      </c>
      <c r="BJ3" s="46">
        <f t="shared" si="7"/>
        <v>50</v>
      </c>
      <c r="BK3" s="99"/>
      <c r="BL3" s="99"/>
      <c r="BM3" s="99"/>
      <c r="BN3" s="89">
        <v>5.0</v>
      </c>
      <c r="BO3" s="89">
        <v>5.0</v>
      </c>
      <c r="BP3" s="89">
        <v>5.0</v>
      </c>
      <c r="BQ3" s="89">
        <v>5.0</v>
      </c>
      <c r="BR3" s="89">
        <v>5.0</v>
      </c>
      <c r="BS3" s="99"/>
      <c r="BT3" s="99"/>
      <c r="BU3" s="89">
        <v>5.0</v>
      </c>
      <c r="BV3" s="89">
        <v>5.0</v>
      </c>
      <c r="BW3" s="89">
        <v>5.0</v>
      </c>
      <c r="BX3" s="89">
        <v>5.0</v>
      </c>
      <c r="BY3" s="89">
        <v>5.0</v>
      </c>
      <c r="BZ3" s="94"/>
      <c r="CA3" s="88"/>
      <c r="CB3" s="46" t="str">
        <f t="array" ref="CB3">IFERROR(INDEX('Resument Total - Ofertas Proyec'!$B:$B,MATCH(CE3,'Resument Total - Ofertas Proyec'!$D:$D,0)),"")</f>
        <v/>
      </c>
      <c r="CC3" s="46" t="str">
        <f t="array" ref="CC3">IFERROR(INDEX('Imputación TR - Proyecto-Quince'!$B:$B,MATCH(CE3,'Imputación TR - Proyecto-Quince'!$C:$C,0)),"")</f>
        <v/>
      </c>
      <c r="CD3" s="68"/>
      <c r="CE3" s="46"/>
      <c r="CF3" s="46" t="str">
        <f t="shared" si="8"/>
        <v/>
      </c>
      <c r="CG3" s="46" t="s">
        <v>82</v>
      </c>
      <c r="CH3" s="72"/>
      <c r="CI3" s="70" t="str">
        <f t="shared" si="9"/>
        <v>-</v>
      </c>
      <c r="CJ3" s="46">
        <f t="shared" si="10"/>
        <v>0</v>
      </c>
      <c r="CK3" s="99"/>
      <c r="CL3" s="99"/>
      <c r="CM3" s="92"/>
      <c r="CN3" s="92"/>
      <c r="CO3" s="92"/>
      <c r="CP3" s="92"/>
      <c r="CQ3" s="92"/>
      <c r="CR3" s="99"/>
      <c r="CS3" s="99"/>
      <c r="CT3" s="92"/>
      <c r="CU3" s="92"/>
      <c r="CV3" s="92"/>
      <c r="CW3" s="92"/>
      <c r="CX3" s="92"/>
      <c r="CY3" s="99"/>
      <c r="CZ3" s="100"/>
      <c r="DA3" s="94"/>
      <c r="DB3" s="88"/>
      <c r="DC3" s="46" t="str">
        <f t="array" ref="DC3">IFERROR(INDEX('Resument Total - Ofertas Proyec'!$B:$B,MATCH(DF3,'Resument Total - Ofertas Proyec'!$D:$D,0)),"")</f>
        <v>SDATOOL-34723</v>
      </c>
      <c r="DD3" s="46" t="str">
        <f t="array" ref="DD3">IFERROR(INDEX('Imputación TR - Proyecto-Quince'!$B:$B,MATCH(DF3,'Imputación TR - Proyecto-Quince'!$C:$C,0)),"")</f>
        <v>Calypso Filter</v>
      </c>
      <c r="DE3" s="68"/>
      <c r="DF3" s="25" t="s">
        <v>58</v>
      </c>
      <c r="DG3" s="46" t="str">
        <f t="shared" si="11"/>
        <v/>
      </c>
      <c r="DH3" s="76" t="s">
        <v>83</v>
      </c>
      <c r="DI3" s="71" t="s">
        <v>81</v>
      </c>
      <c r="DJ3" s="70" t="str">
        <f t="shared" si="12"/>
        <v>-</v>
      </c>
      <c r="DK3" s="46">
        <f t="shared" si="13"/>
        <v>45</v>
      </c>
      <c r="DL3" s="92"/>
      <c r="DM3" s="92"/>
      <c r="DN3" s="92"/>
      <c r="DO3" s="92"/>
      <c r="DP3" s="92"/>
      <c r="DQ3" s="99"/>
      <c r="DR3" s="99"/>
      <c r="DS3" s="101"/>
      <c r="DT3" s="101"/>
      <c r="DU3" s="101"/>
      <c r="DV3" s="102">
        <v>15.0</v>
      </c>
      <c r="DW3" s="102">
        <v>15.0</v>
      </c>
      <c r="DX3" s="103"/>
      <c r="DY3" s="103"/>
      <c r="DZ3" s="102">
        <v>15.0</v>
      </c>
      <c r="EA3" s="94"/>
      <c r="EB3" s="88"/>
      <c r="EC3" s="46" t="str">
        <f t="array" ref="EC3">IFERROR(INDEX('Resument Total - Ofertas Proyec'!$B:$B,MATCH(EF3,'Resument Total - Ofertas Proyec'!$D:$D,0)),"")</f>
        <v/>
      </c>
      <c r="ED3" s="46" t="str">
        <f t="array" ref="ED3">IFERROR(INDEX('Imputación TR - Proyecto-Quince'!$B:$B,MATCH(EF3,'Imputación TR - Proyecto-Quince'!$C:$C,0)),"")</f>
        <v/>
      </c>
      <c r="EE3" s="89" t="s">
        <v>64</v>
      </c>
      <c r="EF3" s="104"/>
      <c r="EG3" s="104" t="str">
        <f t="shared" si="14"/>
        <v/>
      </c>
      <c r="EH3" s="105" t="s">
        <v>80</v>
      </c>
      <c r="EI3" s="71" t="s">
        <v>81</v>
      </c>
      <c r="EJ3" s="106" t="str">
        <f t="shared" si="15"/>
        <v>-</v>
      </c>
      <c r="EK3" s="46">
        <f t="shared" si="16"/>
        <v>60</v>
      </c>
      <c r="EL3" s="92"/>
      <c r="EM3" s="92"/>
      <c r="EN3" s="92"/>
      <c r="EO3" s="92"/>
      <c r="EP3" s="99"/>
      <c r="EQ3" s="99"/>
      <c r="ER3" s="102">
        <v>9.0</v>
      </c>
      <c r="ES3" s="102">
        <v>9.0</v>
      </c>
      <c r="ET3" s="102">
        <v>9.0</v>
      </c>
      <c r="EU3" s="102">
        <v>9.0</v>
      </c>
      <c r="EV3" s="102">
        <v>6.0</v>
      </c>
      <c r="EW3" s="103"/>
      <c r="EX3" s="103"/>
      <c r="EY3" s="102">
        <v>9.0</v>
      </c>
      <c r="EZ3" s="102">
        <v>9.0</v>
      </c>
    </row>
    <row r="4" ht="18.0" customHeight="1">
      <c r="A4" s="107"/>
      <c r="B4" s="108"/>
      <c r="C4" s="108"/>
      <c r="D4" s="109"/>
      <c r="E4" s="110"/>
      <c r="F4" s="108"/>
      <c r="G4" s="111"/>
      <c r="H4" s="112"/>
      <c r="I4" s="113"/>
      <c r="J4" s="108"/>
      <c r="K4" s="110"/>
      <c r="L4" s="114"/>
      <c r="M4" s="114"/>
      <c r="N4" s="115"/>
      <c r="O4" s="115"/>
      <c r="P4" s="116"/>
      <c r="Q4" s="116"/>
      <c r="R4" s="110"/>
      <c r="S4" s="110"/>
      <c r="T4" s="110"/>
      <c r="U4" s="115"/>
      <c r="V4" s="115"/>
      <c r="W4" s="116"/>
      <c r="X4" s="116"/>
      <c r="Y4" s="117"/>
      <c r="Z4" s="118"/>
      <c r="AA4" s="107"/>
      <c r="AB4" s="108"/>
      <c r="AC4" s="108"/>
      <c r="AD4" s="119"/>
      <c r="AE4" s="119"/>
      <c r="AF4" s="108"/>
      <c r="AG4" s="111"/>
      <c r="AH4" s="112"/>
      <c r="AI4" s="113"/>
      <c r="AJ4" s="108"/>
      <c r="AK4" s="120"/>
      <c r="AL4" s="120"/>
      <c r="AM4" s="121"/>
      <c r="AN4" s="121"/>
      <c r="AO4" s="120"/>
      <c r="AP4" s="120"/>
      <c r="AQ4" s="120"/>
      <c r="AR4" s="120"/>
      <c r="AS4" s="120"/>
      <c r="AT4" s="121"/>
      <c r="AU4" s="121"/>
      <c r="AV4" s="120"/>
      <c r="AW4" s="120"/>
      <c r="AX4" s="112"/>
      <c r="AY4" s="122"/>
      <c r="AZ4" s="118"/>
      <c r="BA4" s="107"/>
      <c r="BB4" s="108" t="str">
        <f t="array" ref="BB4">IFERROR(INDEX('Resument Total - Ofertas Proyec'!$B:$B,MATCH(BE4,'Resument Total - Ofertas Proyec'!$D:$D,0)),"")</f>
        <v>SDATOOL-38779</v>
      </c>
      <c r="BC4" s="108" t="str">
        <f t="array" ref="BC4">IFERROR(INDEX('Imputación TR - Proyecto-Quince'!$B:$B,MATCH(BE4,'Imputación TR - Proyecto-Quince'!$C:$C,0)),"")</f>
        <v>Sec Lending_Sponsored Repo</v>
      </c>
      <c r="BD4" s="119"/>
      <c r="BE4" s="25" t="s">
        <v>54</v>
      </c>
      <c r="BF4" s="108"/>
      <c r="BG4" s="111" t="s">
        <v>83</v>
      </c>
      <c r="BH4" s="112" t="s">
        <v>81</v>
      </c>
      <c r="BI4" s="113"/>
      <c r="BJ4" s="46">
        <f t="shared" si="7"/>
        <v>50</v>
      </c>
      <c r="BK4" s="123"/>
      <c r="BL4" s="123"/>
      <c r="BM4" s="123"/>
      <c r="BN4" s="116"/>
      <c r="BO4" s="116"/>
      <c r="BP4" s="116"/>
      <c r="BQ4" s="116"/>
      <c r="BR4" s="116"/>
      <c r="BS4" s="123"/>
      <c r="BT4" s="123"/>
      <c r="BU4" s="110">
        <v>10.0</v>
      </c>
      <c r="BV4" s="110">
        <v>10.0</v>
      </c>
      <c r="BW4" s="110">
        <v>10.0</v>
      </c>
      <c r="BX4" s="110">
        <v>10.0</v>
      </c>
      <c r="BY4" s="110">
        <v>10.0</v>
      </c>
      <c r="BZ4" s="118"/>
      <c r="CA4" s="107"/>
      <c r="CB4" s="108"/>
      <c r="CC4" s="108"/>
      <c r="CD4" s="119"/>
      <c r="CE4" s="108"/>
      <c r="CF4" s="108"/>
      <c r="CG4" s="108"/>
      <c r="CH4" s="109"/>
      <c r="CI4" s="113"/>
      <c r="CJ4" s="108"/>
      <c r="CK4" s="123"/>
      <c r="CL4" s="123"/>
      <c r="CM4" s="116"/>
      <c r="CN4" s="116"/>
      <c r="CO4" s="116"/>
      <c r="CP4" s="116"/>
      <c r="CQ4" s="116"/>
      <c r="CR4" s="123"/>
      <c r="CS4" s="123"/>
      <c r="CT4" s="116"/>
      <c r="CU4" s="116"/>
      <c r="CV4" s="116"/>
      <c r="CW4" s="116"/>
      <c r="CX4" s="116"/>
      <c r="CY4" s="123"/>
      <c r="CZ4" s="124"/>
      <c r="DA4" s="118"/>
      <c r="DB4" s="107"/>
      <c r="DC4" s="108"/>
      <c r="DD4" s="108"/>
      <c r="DE4" s="119"/>
      <c r="DF4" s="108"/>
      <c r="DG4" s="108"/>
      <c r="DH4" s="108"/>
      <c r="DI4" s="109"/>
      <c r="DJ4" s="113"/>
      <c r="DK4" s="108"/>
      <c r="DL4" s="116"/>
      <c r="DM4" s="116"/>
      <c r="DN4" s="116"/>
      <c r="DO4" s="116"/>
      <c r="DP4" s="116"/>
      <c r="DQ4" s="123"/>
      <c r="DR4" s="123"/>
      <c r="DS4" s="125"/>
      <c r="DT4" s="125"/>
      <c r="DU4" s="125"/>
      <c r="DV4" s="125"/>
      <c r="DW4" s="125"/>
      <c r="DX4" s="126"/>
      <c r="DY4" s="126"/>
      <c r="DZ4" s="125"/>
      <c r="EA4" s="118"/>
      <c r="EB4" s="107"/>
      <c r="EC4" s="108"/>
      <c r="ED4" s="108"/>
      <c r="EE4" s="127"/>
      <c r="EF4" s="128"/>
      <c r="EG4" s="128" t="str">
        <f t="shared" si="14"/>
        <v/>
      </c>
      <c r="EH4" s="129"/>
      <c r="EI4" s="130"/>
      <c r="EJ4" s="113"/>
      <c r="EK4" s="108"/>
      <c r="EL4" s="116"/>
      <c r="EM4" s="116"/>
      <c r="EN4" s="116"/>
      <c r="EO4" s="116"/>
      <c r="EP4" s="123"/>
      <c r="EQ4" s="123"/>
      <c r="ER4" s="125"/>
      <c r="ES4" s="125"/>
      <c r="ET4" s="125"/>
      <c r="EU4" s="125"/>
      <c r="EV4" s="125"/>
      <c r="EW4" s="126"/>
      <c r="EX4" s="126"/>
      <c r="EY4" s="131"/>
      <c r="EZ4" s="131"/>
    </row>
    <row r="5" ht="18.0" customHeight="1">
      <c r="A5" s="55" t="s">
        <v>85</v>
      </c>
      <c r="B5" s="56" t="str">
        <f t="array" ref="B5">IFERROR(INDEX('Imputación TR - Proyecto-Quince'!$A:$A,MATCH(E5,'Imputación TR - Proyecto-Quince'!$C:$C,0)),"")</f>
        <v/>
      </c>
      <c r="C5" s="56"/>
      <c r="D5" s="57" t="s">
        <v>64</v>
      </c>
      <c r="E5" s="58"/>
      <c r="F5" s="58"/>
      <c r="G5" s="57" t="s">
        <v>80</v>
      </c>
      <c r="H5" s="59" t="s">
        <v>81</v>
      </c>
      <c r="I5" s="60" t="s">
        <v>82</v>
      </c>
      <c r="J5" s="57">
        <f t="shared" ref="J5:J26" si="17">SUM(K5:Y5)</f>
        <v>87</v>
      </c>
      <c r="K5" s="61">
        <v>9.0</v>
      </c>
      <c r="L5" s="62">
        <v>9.0</v>
      </c>
      <c r="M5" s="62"/>
      <c r="N5" s="63"/>
      <c r="O5" s="63"/>
      <c r="P5" s="64">
        <v>9.0</v>
      </c>
      <c r="Q5" s="64">
        <v>9.0</v>
      </c>
      <c r="R5" s="64">
        <v>9.0</v>
      </c>
      <c r="S5" s="64">
        <v>9.0</v>
      </c>
      <c r="T5" s="64">
        <v>6.0</v>
      </c>
      <c r="U5" s="63"/>
      <c r="V5" s="63"/>
      <c r="W5" s="64">
        <v>9.0</v>
      </c>
      <c r="X5" s="64">
        <v>9.0</v>
      </c>
      <c r="Y5" s="65">
        <v>9.0</v>
      </c>
      <c r="Z5" s="132"/>
      <c r="AA5" s="55" t="s">
        <v>85</v>
      </c>
      <c r="AB5" s="133" t="str">
        <f t="array" ref="AB5">IFERROR(INDEX('Resument Total - Ofertas Proyec'!$B:$B,MATCH(AE5,'Resument Total - Ofertas Proyec'!$D:$D,0)),"")</f>
        <v>SDATOOL-51827</v>
      </c>
      <c r="AC5" s="133" t="str">
        <f t="array" ref="AC5">IFERROR(INDEX('Imputación TR - Proyecto-Quince'!$B:$B,MATCH(AE5,'Imputación TR - Proyecto-Quince'!$C:$C,0)),"")</f>
        <v>Maestro emisiones</v>
      </c>
      <c r="AD5" s="95"/>
      <c r="AE5" s="134" t="s">
        <v>49</v>
      </c>
      <c r="AF5" s="75" t="str">
        <f t="shared" ref="AF5:AF26" si="18">IF(AI5="Otras Tecnologías","GoldenSource","")</f>
        <v/>
      </c>
      <c r="AG5" s="69" t="s">
        <v>83</v>
      </c>
      <c r="AH5" s="64" t="s">
        <v>81</v>
      </c>
      <c r="AI5" s="96" t="str">
        <f t="shared" ref="AI5:AI26" si="19">IF(OR(AH5="Codificación",AH5="Pruebas"),"Otras Tecnologías","-")</f>
        <v>-</v>
      </c>
      <c r="AJ5" s="75">
        <f t="shared" ref="AJ5:AJ26" si="20">SUM(AK5:AY5)</f>
        <v>110</v>
      </c>
      <c r="AK5" s="64">
        <v>10.0</v>
      </c>
      <c r="AL5" s="64">
        <v>10.0</v>
      </c>
      <c r="AM5" s="80"/>
      <c r="AN5" s="80"/>
      <c r="AO5" s="64">
        <v>10.0</v>
      </c>
      <c r="AP5" s="64">
        <v>10.0</v>
      </c>
      <c r="AQ5" s="64">
        <v>10.0</v>
      </c>
      <c r="AR5" s="64">
        <v>10.0</v>
      </c>
      <c r="AS5" s="64">
        <v>10.0</v>
      </c>
      <c r="AT5" s="80"/>
      <c r="AU5" s="80"/>
      <c r="AV5" s="64">
        <v>10.0</v>
      </c>
      <c r="AW5" s="64">
        <v>10.0</v>
      </c>
      <c r="AX5" s="64">
        <v>10.0</v>
      </c>
      <c r="AY5" s="64">
        <v>10.0</v>
      </c>
      <c r="AZ5" s="132"/>
      <c r="BA5" s="55" t="s">
        <v>85</v>
      </c>
      <c r="BB5" s="133" t="str">
        <f t="array" ref="BB5">IFERROR(INDEX('Resument Total - Ofertas Proyec'!$B:$B,MATCH(BE5,'Resument Total - Ofertas Proyec'!$D:$D,0)),"")</f>
        <v>SDATOOL-51827</v>
      </c>
      <c r="BC5" s="133" t="str">
        <f t="array" ref="BC5">IFERROR(INDEX('Imputación TR - Proyecto-Quince'!$B:$B,MATCH(BE5,'Imputación TR - Proyecto-Quince'!$C:$C,0)),"")</f>
        <v>Maestro emisiones</v>
      </c>
      <c r="BD5" s="95"/>
      <c r="BE5" s="134" t="s">
        <v>49</v>
      </c>
      <c r="BF5" s="75" t="str">
        <f t="shared" ref="BF5:BF26" si="21">IF(BI5="Otras Tecnologías","GoldenSource","")</f>
        <v>GoldenSource</v>
      </c>
      <c r="BG5" s="77" t="s">
        <v>83</v>
      </c>
      <c r="BH5" s="135" t="s">
        <v>84</v>
      </c>
      <c r="BI5" s="96" t="str">
        <f t="shared" ref="BI5:BI26" si="22">IF(OR(BH5="Codificación",BH5="Pruebas"),"Otras Tecnologías","-")</f>
        <v>Otras Tecnologías</v>
      </c>
      <c r="BJ5" s="75">
        <f t="shared" si="7"/>
        <v>150</v>
      </c>
      <c r="BK5" s="80"/>
      <c r="BL5" s="80"/>
      <c r="BM5" s="80"/>
      <c r="BN5" s="64">
        <v>15.0</v>
      </c>
      <c r="BO5" s="64">
        <v>15.0</v>
      </c>
      <c r="BP5" s="64">
        <v>15.0</v>
      </c>
      <c r="BQ5" s="64">
        <v>15.0</v>
      </c>
      <c r="BR5" s="64">
        <v>15.0</v>
      </c>
      <c r="BS5" s="80"/>
      <c r="BT5" s="80"/>
      <c r="BU5" s="64">
        <v>15.0</v>
      </c>
      <c r="BV5" s="64">
        <v>15.0</v>
      </c>
      <c r="BW5" s="64">
        <v>15.0</v>
      </c>
      <c r="BX5" s="64">
        <v>15.0</v>
      </c>
      <c r="BY5" s="64">
        <v>15.0</v>
      </c>
      <c r="BZ5" s="132"/>
      <c r="CA5" s="55" t="s">
        <v>85</v>
      </c>
      <c r="CB5" s="133" t="str">
        <f t="array" ref="CB5">IFERROR(INDEX('Resument Total - Ofertas Proyec'!$B:$B,MATCH(CE5,'Resument Total - Ofertas Proyec'!$D:$D,0)),"")</f>
        <v>SDATOOL-51827</v>
      </c>
      <c r="CC5" s="133" t="str">
        <f t="array" ref="CC5">IFERROR(INDEX('Imputación TR - Proyecto-Quince'!$B:$B,MATCH(CE5,'Imputación TR - Proyecto-Quince'!$C:$C,0)),"")</f>
        <v>Eventos Corporativos</v>
      </c>
      <c r="CD5" s="95"/>
      <c r="CE5" s="136" t="s">
        <v>51</v>
      </c>
      <c r="CF5" s="75" t="str">
        <f t="shared" ref="CF5:CF26" si="23">IF(CI5="Otras Tecnologías","GoldenSource","")</f>
        <v>GoldenSource</v>
      </c>
      <c r="CG5" s="77" t="s">
        <v>83</v>
      </c>
      <c r="CH5" s="135" t="s">
        <v>84</v>
      </c>
      <c r="CI5" s="96" t="str">
        <f t="shared" ref="CI5:CI26" si="24">IF(OR(CH5="Codificación",CH5="Pruebas"),"Otras Tecnologías","-")</f>
        <v>Otras Tecnologías</v>
      </c>
      <c r="CJ5" s="75">
        <f t="shared" ref="CJ5:CJ25" si="25">SUM(CK5:CZ5)</f>
        <v>150</v>
      </c>
      <c r="CK5" s="80"/>
      <c r="CL5" s="80"/>
      <c r="CM5" s="64">
        <v>15.0</v>
      </c>
      <c r="CN5" s="64">
        <v>15.0</v>
      </c>
      <c r="CO5" s="64">
        <v>15.0</v>
      </c>
      <c r="CP5" s="64">
        <v>15.0</v>
      </c>
      <c r="CQ5" s="64">
        <v>15.0</v>
      </c>
      <c r="CR5" s="80"/>
      <c r="CS5" s="80"/>
      <c r="CT5" s="64">
        <v>15.0</v>
      </c>
      <c r="CU5" s="64">
        <v>15.0</v>
      </c>
      <c r="CV5" s="64">
        <v>15.0</v>
      </c>
      <c r="CW5" s="64">
        <v>15.0</v>
      </c>
      <c r="CX5" s="64">
        <v>15.0</v>
      </c>
      <c r="CY5" s="80"/>
      <c r="CZ5" s="81"/>
      <c r="DA5" s="132"/>
      <c r="DB5" s="55" t="s">
        <v>85</v>
      </c>
      <c r="DC5" s="133" t="str">
        <f t="array" ref="DC5">IFERROR(INDEX('Resument Total - Ofertas Proyec'!$B:$B,MATCH(DF5,'Resument Total - Ofertas Proyec'!$D:$D,0)),"")</f>
        <v>SDATOOL-46848</v>
      </c>
      <c r="DD5" s="133" t="str">
        <f t="array" ref="DD5">IFERROR(INDEX('Imputación TR - Proyecto-Quince'!$B:$B,MATCH(DF5,'Imputación TR - Proyecto-Quince'!$C:$C,0)),"")</f>
        <v>Institutional Clients. Onboarding.</v>
      </c>
      <c r="DE5" s="95"/>
      <c r="DF5" s="136" t="s">
        <v>27</v>
      </c>
      <c r="DG5" s="75" t="str">
        <f t="shared" ref="DG5:DG11" si="26">IF(DJ5="Otras Tecnologías","GoldenSource","")</f>
        <v>GoldenSource</v>
      </c>
      <c r="DH5" s="77" t="s">
        <v>83</v>
      </c>
      <c r="DI5" s="135" t="s">
        <v>86</v>
      </c>
      <c r="DJ5" s="96" t="str">
        <f t="shared" ref="DJ5:DJ11" si="27">IF(OR(DI5="Codificación",DI5="Pruebas"),"Otras Tecnologías","-")</f>
        <v>Otras Tecnologías</v>
      </c>
      <c r="DK5" s="75">
        <f t="shared" ref="DK5:DK26" si="28">SUM(DL5:EA5)</f>
        <v>75</v>
      </c>
      <c r="DL5" s="64">
        <v>15.0</v>
      </c>
      <c r="DM5" s="64">
        <v>15.0</v>
      </c>
      <c r="DN5" s="64">
        <v>15.0</v>
      </c>
      <c r="DO5" s="64">
        <v>15.0</v>
      </c>
      <c r="DP5" s="64">
        <v>15.0</v>
      </c>
      <c r="DQ5" s="80"/>
      <c r="DR5" s="80"/>
      <c r="DS5" s="87"/>
      <c r="DT5" s="87"/>
      <c r="DU5" s="87"/>
      <c r="DV5" s="87"/>
      <c r="DW5" s="87"/>
      <c r="DX5" s="82"/>
      <c r="DY5" s="82"/>
      <c r="DZ5" s="87"/>
      <c r="EA5" s="132"/>
      <c r="EB5" s="55" t="s">
        <v>85</v>
      </c>
      <c r="EC5" s="133" t="str">
        <f t="array" ref="EC5">IFERROR(INDEX('Resument Total - Ofertas Proyec'!$B:$B,MATCH(EF5,'Resument Total - Ofertas Proyec'!$D:$D,0)),"")</f>
        <v>SDATOOL-55461</v>
      </c>
      <c r="ED5" s="133" t="str">
        <f t="array" ref="ED5">IFERROR(INDEX('Imputación TR - Proyecto-Quince'!$B:$B,MATCH(EF5,'Imputación TR - Proyecto-Quince'!$C:$C,0)),"")</f>
        <v>Refinamiento Productos Entregados</v>
      </c>
      <c r="EE5" s="95"/>
      <c r="EF5" s="77" t="s">
        <v>61</v>
      </c>
      <c r="EG5" s="77" t="str">
        <f t="shared" si="14"/>
        <v/>
      </c>
      <c r="EH5" s="77" t="s">
        <v>83</v>
      </c>
      <c r="EI5" s="135" t="s">
        <v>81</v>
      </c>
      <c r="EJ5" s="96" t="str">
        <f t="shared" ref="EJ5:EJ26" si="29">IF(OR(EI5="Codificación",EI5="Pruebas"),"Otras Tecnologías","-")</f>
        <v>-</v>
      </c>
      <c r="EK5" s="75">
        <f t="shared" ref="EK5:EK36" si="30">SUM(EL5:EZ5)</f>
        <v>45</v>
      </c>
      <c r="EL5" s="64">
        <v>15.0</v>
      </c>
      <c r="EM5" s="64">
        <v>10.0</v>
      </c>
      <c r="EN5" s="64">
        <v>10.0</v>
      </c>
      <c r="EO5" s="64">
        <v>10.0</v>
      </c>
      <c r="EP5" s="80"/>
      <c r="EQ5" s="80"/>
      <c r="ER5" s="87"/>
      <c r="ES5" s="87"/>
      <c r="ET5" s="87"/>
      <c r="EU5" s="87"/>
      <c r="EV5" s="87"/>
      <c r="EW5" s="82"/>
      <c r="EX5" s="82"/>
      <c r="EY5" s="87"/>
      <c r="EZ5" s="87"/>
    </row>
    <row r="6" ht="18.0" customHeight="1">
      <c r="A6" s="88"/>
      <c r="B6" s="72" t="str">
        <f t="array" ref="B6">IFERROR(INDEX('Imputación TR - Proyecto-Quince'!$A:$A,MATCH(E6,'Imputación TR - Proyecto-Quince'!$C:$C,0)),"")</f>
        <v/>
      </c>
      <c r="C6" s="72" t="str">
        <f t="array" ref="C6">IFERROR(INDEX('Imputación TR - Proyecto-Quince'!$B:$B,MATCH(E6,'Imputación TR - Proyecto-Quince'!$C:$C,0)),"")</f>
        <v/>
      </c>
      <c r="D6" s="72"/>
      <c r="E6" s="68"/>
      <c r="F6" s="68" t="str">
        <f t="shared" ref="F6:F7" si="31">IF(I6="Otras Tecnologías","GoldenSource","")</f>
        <v/>
      </c>
      <c r="G6" s="72" t="s">
        <v>82</v>
      </c>
      <c r="H6" s="72"/>
      <c r="I6" s="70" t="str">
        <f t="shared" ref="I6:I7" si="32">IF(OR(H6="Codificación",H6="Pruebas"),"Otras Tecnologías","-")</f>
        <v>-</v>
      </c>
      <c r="J6" s="72">
        <f t="shared" si="17"/>
        <v>0</v>
      </c>
      <c r="K6" s="92"/>
      <c r="L6" s="90"/>
      <c r="M6" s="90"/>
      <c r="N6" s="91"/>
      <c r="O6" s="91"/>
      <c r="P6" s="92"/>
      <c r="Q6" s="92"/>
      <c r="R6" s="92"/>
      <c r="S6" s="92"/>
      <c r="T6" s="92"/>
      <c r="U6" s="91"/>
      <c r="V6" s="91"/>
      <c r="W6" s="92"/>
      <c r="X6" s="92"/>
      <c r="Y6" s="93"/>
      <c r="Z6" s="94"/>
      <c r="AA6" s="88"/>
      <c r="AB6" s="68" t="str">
        <f t="array" ref="AB6">IFERROR(INDEX('Resument Total - Ofertas Proyec'!$B:$B,MATCH(AE6,'Resument Total - Ofertas Proyec'!$D:$D,0)),"")</f>
        <v/>
      </c>
      <c r="AC6" s="68" t="str">
        <f t="array" ref="AC6">IFERROR(INDEX('Imputación TR - Proyecto-Quince'!$B:$B,MATCH(AE6,'Imputación TR - Proyecto-Quince'!$C:$C,0)),"")</f>
        <v/>
      </c>
      <c r="AD6" s="68"/>
      <c r="AE6" s="68"/>
      <c r="AF6" s="68" t="str">
        <f t="shared" si="18"/>
        <v/>
      </c>
      <c r="AG6" s="72" t="s">
        <v>82</v>
      </c>
      <c r="AH6" s="72"/>
      <c r="AI6" s="70" t="str">
        <f t="shared" si="19"/>
        <v>-</v>
      </c>
      <c r="AJ6" s="72">
        <f t="shared" si="20"/>
        <v>0</v>
      </c>
      <c r="AK6" s="98"/>
      <c r="AL6" s="98"/>
      <c r="AM6" s="97"/>
      <c r="AN6" s="97"/>
      <c r="AO6" s="98"/>
      <c r="AP6" s="98"/>
      <c r="AQ6" s="98"/>
      <c r="AR6" s="98"/>
      <c r="AS6" s="98"/>
      <c r="AT6" s="97"/>
      <c r="AU6" s="97"/>
      <c r="AV6" s="98"/>
      <c r="AW6" s="98"/>
      <c r="AX6" s="98"/>
      <c r="AY6" s="137"/>
      <c r="AZ6" s="94"/>
      <c r="BA6" s="88"/>
      <c r="BB6" s="68" t="str">
        <f t="array" ref="BB6">IFERROR(INDEX('Resument Total - Ofertas Proyec'!$B:$B,MATCH(BE6,'Resument Total - Ofertas Proyec'!$D:$D,0)),"")</f>
        <v/>
      </c>
      <c r="BC6" s="68" t="str">
        <f t="array" ref="BC6">IFERROR(INDEX('Imputación TR - Proyecto-Quince'!$B:$B,MATCH(BE6,'Imputación TR - Proyecto-Quince'!$C:$C,0)),"")</f>
        <v/>
      </c>
      <c r="BD6" s="68"/>
      <c r="BE6" s="68"/>
      <c r="BF6" s="68" t="str">
        <f t="shared" si="21"/>
        <v/>
      </c>
      <c r="BG6" s="72" t="s">
        <v>82</v>
      </c>
      <c r="BH6" s="72"/>
      <c r="BI6" s="70" t="str">
        <f t="shared" si="22"/>
        <v>-</v>
      </c>
      <c r="BJ6" s="72">
        <f t="shared" si="7"/>
        <v>0</v>
      </c>
      <c r="BK6" s="99"/>
      <c r="BL6" s="99"/>
      <c r="BM6" s="99"/>
      <c r="BN6" s="92"/>
      <c r="BO6" s="92"/>
      <c r="BP6" s="92"/>
      <c r="BQ6" s="92"/>
      <c r="BR6" s="92"/>
      <c r="BS6" s="99"/>
      <c r="BT6" s="99"/>
      <c r="BU6" s="92"/>
      <c r="BV6" s="92"/>
      <c r="BW6" s="92"/>
      <c r="BX6" s="92"/>
      <c r="BY6" s="92"/>
      <c r="BZ6" s="94"/>
      <c r="CA6" s="88"/>
      <c r="CB6" s="68" t="str">
        <f t="array" ref="CB6">IFERROR(INDEX('Resument Total - Ofertas Proyec'!$B:$B,MATCH(CE6,'Resument Total - Ofertas Proyec'!$D:$D,0)),"")</f>
        <v/>
      </c>
      <c r="CC6" s="68" t="str">
        <f t="array" ref="CC6">IFERROR(INDEX('Imputación TR - Proyecto-Quince'!$B:$B,MATCH(CE6,'Imputación TR - Proyecto-Quince'!$C:$C,0)),"")</f>
        <v/>
      </c>
      <c r="CD6" s="68"/>
      <c r="CE6" s="68"/>
      <c r="CF6" s="68" t="str">
        <f t="shared" si="23"/>
        <v/>
      </c>
      <c r="CG6" s="72" t="s">
        <v>82</v>
      </c>
      <c r="CH6" s="72"/>
      <c r="CI6" s="70" t="str">
        <f t="shared" si="24"/>
        <v>-</v>
      </c>
      <c r="CJ6" s="72">
        <f t="shared" si="25"/>
        <v>0</v>
      </c>
      <c r="CK6" s="99"/>
      <c r="CL6" s="99"/>
      <c r="CM6" s="92"/>
      <c r="CN6" s="92"/>
      <c r="CO6" s="92"/>
      <c r="CP6" s="92"/>
      <c r="CQ6" s="92"/>
      <c r="CR6" s="99"/>
      <c r="CS6" s="99"/>
      <c r="CT6" s="92"/>
      <c r="CU6" s="92"/>
      <c r="CV6" s="92"/>
      <c r="CW6" s="92"/>
      <c r="CX6" s="92"/>
      <c r="CY6" s="99"/>
      <c r="CZ6" s="100"/>
      <c r="DA6" s="94"/>
      <c r="DB6" s="88"/>
      <c r="DC6" s="68" t="str">
        <f t="array" ref="DC6">IFERROR(INDEX('Resument Total - Ofertas Proyec'!$B:$B,MATCH(DF6,'Resument Total - Ofertas Proyec'!$D:$D,0)),"")</f>
        <v/>
      </c>
      <c r="DD6" s="68" t="str">
        <f t="array" ref="DD6">IFERROR(INDEX('Imputación TR - Proyecto-Quince'!$B:$B,MATCH(DF6,'Imputación TR - Proyecto-Quince'!$C:$C,0)),"")</f>
        <v/>
      </c>
      <c r="DE6" s="46" t="s">
        <v>64</v>
      </c>
      <c r="DF6" s="68"/>
      <c r="DG6" s="68" t="str">
        <f t="shared" si="26"/>
        <v/>
      </c>
      <c r="DH6" s="75" t="s">
        <v>80</v>
      </c>
      <c r="DI6" s="78" t="s">
        <v>81</v>
      </c>
      <c r="DJ6" s="70" t="str">
        <f t="shared" si="27"/>
        <v>-</v>
      </c>
      <c r="DK6" s="72">
        <f t="shared" si="28"/>
        <v>51</v>
      </c>
      <c r="DL6" s="92"/>
      <c r="DM6" s="92"/>
      <c r="DN6" s="92"/>
      <c r="DO6" s="92"/>
      <c r="DP6" s="92"/>
      <c r="DQ6" s="99"/>
      <c r="DR6" s="99"/>
      <c r="DS6" s="102">
        <v>9.0</v>
      </c>
      <c r="DT6" s="102">
        <v>9.0</v>
      </c>
      <c r="DU6" s="102">
        <v>9.0</v>
      </c>
      <c r="DV6" s="102">
        <v>9.0</v>
      </c>
      <c r="DW6" s="102">
        <v>6.0</v>
      </c>
      <c r="DX6" s="103"/>
      <c r="DY6" s="103"/>
      <c r="DZ6" s="102">
        <v>9.0</v>
      </c>
      <c r="EA6" s="94"/>
      <c r="EB6" s="88"/>
      <c r="EC6" s="68" t="str">
        <f t="array" ref="EC6">IFERROR(INDEX('Resument Total - Ofertas Proyec'!$B:$B,MATCH(EF6,'Resument Total - Ofertas Proyec'!$D:$D,0)),"")</f>
        <v/>
      </c>
      <c r="ED6" s="68" t="str">
        <f t="array" ref="ED6">IFERROR(INDEX('Imputación TR - Proyecto-Quince'!$B:$B,MATCH(EF6,'Imputación TR - Proyecto-Quince'!$C:$C,0)),"")</f>
        <v/>
      </c>
      <c r="EE6" s="138" t="s">
        <v>64</v>
      </c>
      <c r="EF6" s="139"/>
      <c r="EG6" s="139" t="str">
        <f t="shared" si="14"/>
        <v/>
      </c>
      <c r="EH6" s="140" t="s">
        <v>80</v>
      </c>
      <c r="EI6" s="135" t="s">
        <v>81</v>
      </c>
      <c r="EJ6" s="70" t="str">
        <f t="shared" si="29"/>
        <v>-</v>
      </c>
      <c r="EK6" s="46">
        <f t="shared" si="30"/>
        <v>60</v>
      </c>
      <c r="EL6" s="92"/>
      <c r="EM6" s="92"/>
      <c r="EN6" s="92"/>
      <c r="EO6" s="92"/>
      <c r="EP6" s="99"/>
      <c r="EQ6" s="99"/>
      <c r="ER6" s="141">
        <v>9.0</v>
      </c>
      <c r="ES6" s="141">
        <v>9.0</v>
      </c>
      <c r="ET6" s="141">
        <v>9.0</v>
      </c>
      <c r="EU6" s="141">
        <v>9.0</v>
      </c>
      <c r="EV6" s="141">
        <v>6.0</v>
      </c>
      <c r="EW6" s="103"/>
      <c r="EX6" s="103"/>
      <c r="EY6" s="102">
        <v>9.0</v>
      </c>
      <c r="EZ6" s="102">
        <v>9.0</v>
      </c>
    </row>
    <row r="7" ht="18.0" customHeight="1">
      <c r="A7" s="107"/>
      <c r="B7" s="109" t="str">
        <f t="array" ref="B7">IFERROR(INDEX('Imputación TR - Proyecto-Quince'!$A:$A,MATCH(E7,'Imputación TR - Proyecto-Quince'!$C:$C,0)),"")</f>
        <v/>
      </c>
      <c r="C7" s="109" t="str">
        <f t="array" ref="C7">IFERROR(INDEX('Imputación TR - Proyecto-Quince'!$B:$B,MATCH(E7,'Imputación TR - Proyecto-Quince'!$C:$C,0)),"")</f>
        <v/>
      </c>
      <c r="D7" s="109"/>
      <c r="E7" s="119"/>
      <c r="F7" s="119" t="str">
        <f t="shared" si="31"/>
        <v/>
      </c>
      <c r="G7" s="109" t="s">
        <v>82</v>
      </c>
      <c r="H7" s="119"/>
      <c r="I7" s="113" t="str">
        <f t="shared" si="32"/>
        <v>-</v>
      </c>
      <c r="J7" s="109">
        <f t="shared" si="17"/>
        <v>0</v>
      </c>
      <c r="K7" s="116"/>
      <c r="L7" s="114"/>
      <c r="M7" s="114"/>
      <c r="N7" s="115"/>
      <c r="O7" s="115"/>
      <c r="P7" s="116"/>
      <c r="Q7" s="116"/>
      <c r="R7" s="116"/>
      <c r="S7" s="116"/>
      <c r="T7" s="116"/>
      <c r="U7" s="115"/>
      <c r="V7" s="115"/>
      <c r="W7" s="116"/>
      <c r="X7" s="116"/>
      <c r="Y7" s="117"/>
      <c r="Z7" s="94"/>
      <c r="AA7" s="107"/>
      <c r="AB7" s="119" t="str">
        <f t="array" ref="AB7">IFERROR(INDEX('Resument Total - Ofertas Proyec'!$B:$B,MATCH(AE7,'Resument Total - Ofertas Proyec'!$D:$D,0)),"")</f>
        <v/>
      </c>
      <c r="AC7" s="119" t="str">
        <f t="array" ref="AC7">IFERROR(INDEX('Imputación TR - Proyecto-Quince'!$B:$B,MATCH(AE7,'Imputación TR - Proyecto-Quince'!$C:$C,0)),"")</f>
        <v/>
      </c>
      <c r="AD7" s="119"/>
      <c r="AE7" s="119"/>
      <c r="AF7" s="119" t="str">
        <f t="shared" si="18"/>
        <v/>
      </c>
      <c r="AG7" s="109" t="s">
        <v>82</v>
      </c>
      <c r="AH7" s="119"/>
      <c r="AI7" s="113" t="str">
        <f t="shared" si="19"/>
        <v>-</v>
      </c>
      <c r="AJ7" s="109">
        <f t="shared" si="20"/>
        <v>0</v>
      </c>
      <c r="AK7" s="120"/>
      <c r="AL7" s="120"/>
      <c r="AM7" s="121"/>
      <c r="AN7" s="121"/>
      <c r="AO7" s="120"/>
      <c r="AP7" s="120"/>
      <c r="AQ7" s="120"/>
      <c r="AR7" s="120"/>
      <c r="AS7" s="120"/>
      <c r="AT7" s="121"/>
      <c r="AU7" s="121"/>
      <c r="AV7" s="120"/>
      <c r="AW7" s="120"/>
      <c r="AX7" s="120"/>
      <c r="AY7" s="142"/>
      <c r="AZ7" s="94"/>
      <c r="BA7" s="107"/>
      <c r="BB7" s="119" t="str">
        <f t="array" ref="BB7">IFERROR(INDEX('Resument Total - Ofertas Proyec'!$B:$B,MATCH(BE7,'Resument Total - Ofertas Proyec'!$D:$D,0)),"")</f>
        <v/>
      </c>
      <c r="BC7" s="119" t="str">
        <f t="array" ref="BC7">IFERROR(INDEX('Imputación TR - Proyecto-Quince'!$B:$B,MATCH(BE7,'Imputación TR - Proyecto-Quince'!$C:$C,0)),"")</f>
        <v/>
      </c>
      <c r="BD7" s="119"/>
      <c r="BE7" s="119"/>
      <c r="BF7" s="119" t="str">
        <f t="shared" si="21"/>
        <v/>
      </c>
      <c r="BG7" s="109" t="s">
        <v>82</v>
      </c>
      <c r="BH7" s="119"/>
      <c r="BI7" s="113" t="str">
        <f t="shared" si="22"/>
        <v>-</v>
      </c>
      <c r="BJ7" s="109">
        <f t="shared" si="7"/>
        <v>0</v>
      </c>
      <c r="BK7" s="123"/>
      <c r="BL7" s="123"/>
      <c r="BM7" s="123"/>
      <c r="BN7" s="116"/>
      <c r="BO7" s="116"/>
      <c r="BP7" s="116"/>
      <c r="BQ7" s="116"/>
      <c r="BR7" s="116"/>
      <c r="BS7" s="123"/>
      <c r="BT7" s="123"/>
      <c r="BU7" s="116"/>
      <c r="BV7" s="116"/>
      <c r="BW7" s="116"/>
      <c r="BX7" s="116"/>
      <c r="BY7" s="116"/>
      <c r="BZ7" s="94"/>
      <c r="CA7" s="107"/>
      <c r="CB7" s="119" t="str">
        <f t="array" ref="CB7">IFERROR(INDEX('Resument Total - Ofertas Proyec'!$B:$B,MATCH(CE7,'Resument Total - Ofertas Proyec'!$D:$D,0)),"")</f>
        <v/>
      </c>
      <c r="CC7" s="119" t="str">
        <f t="array" ref="CC7">IFERROR(INDEX('Imputación TR - Proyecto-Quince'!$B:$B,MATCH(CE7,'Imputación TR - Proyecto-Quince'!$C:$C,0)),"")</f>
        <v/>
      </c>
      <c r="CD7" s="119"/>
      <c r="CE7" s="119"/>
      <c r="CF7" s="119" t="str">
        <f t="shared" si="23"/>
        <v/>
      </c>
      <c r="CG7" s="109" t="s">
        <v>82</v>
      </c>
      <c r="CH7" s="119"/>
      <c r="CI7" s="113" t="str">
        <f t="shared" si="24"/>
        <v>-</v>
      </c>
      <c r="CJ7" s="109">
        <f t="shared" si="25"/>
        <v>0</v>
      </c>
      <c r="CK7" s="123"/>
      <c r="CL7" s="123"/>
      <c r="CM7" s="116"/>
      <c r="CN7" s="116"/>
      <c r="CO7" s="116"/>
      <c r="CP7" s="116"/>
      <c r="CQ7" s="116"/>
      <c r="CR7" s="123"/>
      <c r="CS7" s="123"/>
      <c r="CT7" s="116"/>
      <c r="CU7" s="116"/>
      <c r="CV7" s="116"/>
      <c r="CW7" s="116"/>
      <c r="CX7" s="116"/>
      <c r="CY7" s="123"/>
      <c r="CZ7" s="124"/>
      <c r="DA7" s="94"/>
      <c r="DB7" s="107"/>
      <c r="DC7" s="119" t="str">
        <f t="array" ref="DC7">IFERROR(INDEX('Resument Total - Ofertas Proyec'!$B:$B,MATCH(DF7,'Resument Total - Ofertas Proyec'!$D:$D,0)),"")</f>
        <v/>
      </c>
      <c r="DD7" s="119" t="str">
        <f t="array" ref="DD7">IFERROR(INDEX('Imputación TR - Proyecto-Quince'!$B:$B,MATCH(DF7,'Imputación TR - Proyecto-Quince'!$C:$C,0)),"")</f>
        <v/>
      </c>
      <c r="DE7" s="119"/>
      <c r="DF7" s="119"/>
      <c r="DG7" s="119" t="str">
        <f t="shared" si="26"/>
        <v/>
      </c>
      <c r="DH7" s="109" t="s">
        <v>82</v>
      </c>
      <c r="DI7" s="119"/>
      <c r="DJ7" s="113" t="str">
        <f t="shared" si="27"/>
        <v>-</v>
      </c>
      <c r="DK7" s="109">
        <f t="shared" si="28"/>
        <v>0</v>
      </c>
      <c r="DL7" s="116"/>
      <c r="DM7" s="116"/>
      <c r="DN7" s="116"/>
      <c r="DO7" s="116"/>
      <c r="DP7" s="116"/>
      <c r="DQ7" s="123"/>
      <c r="DR7" s="123"/>
      <c r="DS7" s="125"/>
      <c r="DT7" s="125"/>
      <c r="DU7" s="125"/>
      <c r="DV7" s="125"/>
      <c r="DW7" s="125"/>
      <c r="DX7" s="126"/>
      <c r="DY7" s="126"/>
      <c r="DZ7" s="125"/>
      <c r="EA7" s="94"/>
      <c r="EB7" s="107"/>
      <c r="EC7" s="119" t="str">
        <f t="array" ref="EC7">IFERROR(INDEX('Resument Total - Ofertas Proyec'!$B:$B,MATCH(EF7,'Resument Total - Ofertas Proyec'!$D:$D,0)),"")</f>
        <v/>
      </c>
      <c r="ED7" s="119" t="str">
        <f t="array" ref="ED7">IFERROR(INDEX('Imputación TR - Proyecto-Quince'!$B:$B,MATCH(EF7,'Imputación TR - Proyecto-Quince'!$C:$C,0)),"")</f>
        <v/>
      </c>
      <c r="EE7" s="119"/>
      <c r="EF7" s="119"/>
      <c r="EG7" s="119" t="str">
        <f t="shared" si="14"/>
        <v/>
      </c>
      <c r="EH7" s="109" t="s">
        <v>82</v>
      </c>
      <c r="EI7" s="119"/>
      <c r="EJ7" s="113" t="str">
        <f t="shared" si="29"/>
        <v>-</v>
      </c>
      <c r="EK7" s="109">
        <f t="shared" si="30"/>
        <v>0</v>
      </c>
      <c r="EL7" s="116"/>
      <c r="EM7" s="116"/>
      <c r="EN7" s="116"/>
      <c r="EO7" s="116"/>
      <c r="EP7" s="123"/>
      <c r="EQ7" s="123"/>
      <c r="ER7" s="125"/>
      <c r="ES7" s="125"/>
      <c r="ET7" s="125"/>
      <c r="EU7" s="125"/>
      <c r="EV7" s="125"/>
      <c r="EW7" s="126"/>
      <c r="EX7" s="126"/>
      <c r="EY7" s="125"/>
      <c r="EZ7" s="125"/>
    </row>
    <row r="8" ht="18.0" customHeight="1">
      <c r="A8" s="55" t="s">
        <v>87</v>
      </c>
      <c r="B8" s="56" t="str">
        <f t="array" ref="B8">IFERROR(INDEX('Imputación TR - Proyecto-Quince'!$A:$A,MATCH(E8,'Imputación TR - Proyecto-Quince'!$C:$C,0)),"")</f>
        <v/>
      </c>
      <c r="C8" s="56"/>
      <c r="D8" s="57" t="s">
        <v>64</v>
      </c>
      <c r="E8" s="58"/>
      <c r="F8" s="58"/>
      <c r="G8" s="57" t="s">
        <v>80</v>
      </c>
      <c r="H8" s="59" t="s">
        <v>81</v>
      </c>
      <c r="I8" s="60" t="s">
        <v>82</v>
      </c>
      <c r="J8" s="57">
        <f t="shared" si="17"/>
        <v>87</v>
      </c>
      <c r="K8" s="61">
        <v>9.0</v>
      </c>
      <c r="L8" s="62">
        <v>9.0</v>
      </c>
      <c r="M8" s="62"/>
      <c r="N8" s="63"/>
      <c r="O8" s="63"/>
      <c r="P8" s="64">
        <v>9.0</v>
      </c>
      <c r="Q8" s="64">
        <v>9.0</v>
      </c>
      <c r="R8" s="64">
        <v>9.0</v>
      </c>
      <c r="S8" s="64">
        <v>9.0</v>
      </c>
      <c r="T8" s="64">
        <v>6.0</v>
      </c>
      <c r="U8" s="63"/>
      <c r="V8" s="63"/>
      <c r="W8" s="64">
        <v>9.0</v>
      </c>
      <c r="X8" s="64">
        <v>9.0</v>
      </c>
      <c r="Y8" s="65">
        <v>9.0</v>
      </c>
      <c r="Z8" s="66"/>
      <c r="AA8" s="55" t="s">
        <v>87</v>
      </c>
      <c r="AB8" s="143" t="str">
        <f t="array" ref="AB8">IFERROR(INDEX('Resument Total - Ofertas Proyec'!$B:$B,MATCH(AE8,'Resument Total - Ofertas Proyec'!$D:$D,0)),"")</f>
        <v>SDATOOL-34546</v>
      </c>
      <c r="AC8" s="143" t="str">
        <f t="array" ref="AC8">IFERROR(INDEX('Imputación TR - Proyecto-Quince'!$B:$B,MATCH(AE8,'Imputación TR - Proyecto-Quince'!$C:$C,0)),"")</f>
        <v>Calypso V. Migración productos estructurados F5.</v>
      </c>
      <c r="AD8" s="95"/>
      <c r="AE8" s="24" t="s">
        <v>15</v>
      </c>
      <c r="AF8" s="57" t="str">
        <f t="shared" si="18"/>
        <v/>
      </c>
      <c r="AG8" s="69" t="s">
        <v>83</v>
      </c>
      <c r="AH8" s="64" t="s">
        <v>81</v>
      </c>
      <c r="AI8" s="70" t="str">
        <f t="shared" si="19"/>
        <v>-</v>
      </c>
      <c r="AJ8" s="57">
        <f t="shared" si="20"/>
        <v>110</v>
      </c>
      <c r="AK8" s="64">
        <v>10.0</v>
      </c>
      <c r="AL8" s="64">
        <v>10.0</v>
      </c>
      <c r="AM8" s="80"/>
      <c r="AN8" s="80"/>
      <c r="AO8" s="64">
        <v>10.0</v>
      </c>
      <c r="AP8" s="64">
        <v>10.0</v>
      </c>
      <c r="AQ8" s="64">
        <v>10.0</v>
      </c>
      <c r="AR8" s="64">
        <v>10.0</v>
      </c>
      <c r="AS8" s="64">
        <v>10.0</v>
      </c>
      <c r="AT8" s="80"/>
      <c r="AU8" s="80"/>
      <c r="AV8" s="64">
        <v>10.0</v>
      </c>
      <c r="AW8" s="64">
        <v>10.0</v>
      </c>
      <c r="AX8" s="64">
        <v>10.0</v>
      </c>
      <c r="AY8" s="64">
        <v>10.0</v>
      </c>
      <c r="AZ8" s="66"/>
      <c r="BA8" s="55" t="s">
        <v>87</v>
      </c>
      <c r="BB8" s="143" t="str">
        <f t="array" ref="BB8">IFERROR(INDEX('Resument Total - Ofertas Proyec'!$B:$B,MATCH(BE8,'Resument Total - Ofertas Proyec'!$D:$D,0)),"")</f>
        <v>SDATOOL-34546</v>
      </c>
      <c r="BC8" s="143" t="str">
        <f t="array" ref="BC8">IFERROR(INDEX('Imputación TR - Proyecto-Quince'!$B:$B,MATCH(BE8,'Imputación TR - Proyecto-Quince'!$C:$C,0)),"")</f>
        <v>Calypso V. Migración productos estructurados F5.</v>
      </c>
      <c r="BD8" s="95"/>
      <c r="BE8" s="24" t="s">
        <v>15</v>
      </c>
      <c r="BF8" s="57" t="str">
        <f t="shared" si="21"/>
        <v/>
      </c>
      <c r="BG8" s="77" t="s">
        <v>83</v>
      </c>
      <c r="BH8" s="64" t="s">
        <v>81</v>
      </c>
      <c r="BI8" s="70" t="str">
        <f t="shared" si="22"/>
        <v>-</v>
      </c>
      <c r="BJ8" s="57">
        <f t="shared" si="7"/>
        <v>50</v>
      </c>
      <c r="BK8" s="80"/>
      <c r="BL8" s="80"/>
      <c r="BM8" s="80"/>
      <c r="BN8" s="64"/>
      <c r="BO8" s="64"/>
      <c r="BP8" s="64"/>
      <c r="BQ8" s="64"/>
      <c r="BR8" s="64"/>
      <c r="BS8" s="80"/>
      <c r="BT8" s="80"/>
      <c r="BU8" s="64">
        <v>10.0</v>
      </c>
      <c r="BV8" s="64">
        <v>10.0</v>
      </c>
      <c r="BW8" s="64">
        <v>10.0</v>
      </c>
      <c r="BX8" s="64">
        <v>10.0</v>
      </c>
      <c r="BY8" s="64">
        <v>10.0</v>
      </c>
      <c r="BZ8" s="66"/>
      <c r="CA8" s="55" t="s">
        <v>87</v>
      </c>
      <c r="CB8" s="143" t="str">
        <f t="array" ref="CB8">IFERROR(INDEX('Resument Total - Ofertas Proyec'!$B:$B,MATCH(CE8,'Resument Total - Ofertas Proyec'!$D:$D,0)),"")</f>
        <v>SDATOOL-51125</v>
      </c>
      <c r="CC8" s="143" t="str">
        <f t="array" ref="CC8">IFERROR(INDEX('Imputación TR - Proyecto-Quince'!$B:$B,MATCH(CE8,'Imputación TR - Proyecto-Quince'!$C:$C,0)),"")</f>
        <v>Migración FX y MM. Apagado Midas - CLS</v>
      </c>
      <c r="CD8" s="95"/>
      <c r="CE8" s="24" t="s">
        <v>36</v>
      </c>
      <c r="CF8" s="57" t="str">
        <f t="shared" si="23"/>
        <v>GoldenSource</v>
      </c>
      <c r="CG8" s="69" t="s">
        <v>83</v>
      </c>
      <c r="CH8" s="64" t="s">
        <v>86</v>
      </c>
      <c r="CI8" s="70" t="str">
        <f t="shared" si="24"/>
        <v>Otras Tecnologías</v>
      </c>
      <c r="CJ8" s="57">
        <f t="shared" si="25"/>
        <v>150</v>
      </c>
      <c r="CK8" s="80"/>
      <c r="CL8" s="80"/>
      <c r="CM8" s="64">
        <v>15.0</v>
      </c>
      <c r="CN8" s="64">
        <v>15.0</v>
      </c>
      <c r="CO8" s="64">
        <v>15.0</v>
      </c>
      <c r="CP8" s="64">
        <v>15.0</v>
      </c>
      <c r="CQ8" s="64">
        <v>15.0</v>
      </c>
      <c r="CR8" s="80"/>
      <c r="CS8" s="80"/>
      <c r="CT8" s="64">
        <v>15.0</v>
      </c>
      <c r="CU8" s="64">
        <v>15.0</v>
      </c>
      <c r="CV8" s="64">
        <v>15.0</v>
      </c>
      <c r="CW8" s="64">
        <v>15.0</v>
      </c>
      <c r="CX8" s="64">
        <v>15.0</v>
      </c>
      <c r="CY8" s="80"/>
      <c r="CZ8" s="81"/>
      <c r="DA8" s="66"/>
      <c r="DB8" s="55" t="s">
        <v>87</v>
      </c>
      <c r="DC8" s="143" t="str">
        <f t="array" ref="DC8">IFERROR(INDEX('Resument Total - Ofertas Proyec'!$B:$B,MATCH(DF8,'Resument Total - Ofertas Proyec'!$D:$D,0)),"")</f>
        <v>SDATOOL-34546</v>
      </c>
      <c r="DD8" s="143" t="str">
        <f t="array" ref="DD8">IFERROR(INDEX('Imputación TR - Proyecto-Quince'!$B:$B,MATCH(DF8,'Imputación TR - Proyecto-Quince'!$C:$C,0)),"")</f>
        <v>Calypso V. Migración productos estructurados F5.</v>
      </c>
      <c r="DE8" s="95"/>
      <c r="DF8" s="24" t="s">
        <v>15</v>
      </c>
      <c r="DG8" s="57" t="str">
        <f t="shared" si="26"/>
        <v>GoldenSource</v>
      </c>
      <c r="DH8" s="69" t="s">
        <v>83</v>
      </c>
      <c r="DI8" s="64" t="s">
        <v>86</v>
      </c>
      <c r="DJ8" s="70" t="str">
        <f t="shared" si="27"/>
        <v>Otras Tecnologías</v>
      </c>
      <c r="DK8" s="57">
        <f t="shared" si="28"/>
        <v>35</v>
      </c>
      <c r="DL8" s="64">
        <v>10.0</v>
      </c>
      <c r="DM8" s="64">
        <v>10.0</v>
      </c>
      <c r="DN8" s="64">
        <v>5.0</v>
      </c>
      <c r="DO8" s="64">
        <v>5.0</v>
      </c>
      <c r="DP8" s="64">
        <v>5.0</v>
      </c>
      <c r="DQ8" s="80"/>
      <c r="DR8" s="80"/>
      <c r="DS8" s="83"/>
      <c r="DT8" s="83"/>
      <c r="DU8" s="83"/>
      <c r="DV8" s="83"/>
      <c r="DW8" s="83"/>
      <c r="DX8" s="82"/>
      <c r="DY8" s="82"/>
      <c r="DZ8" s="83"/>
      <c r="EA8" s="66"/>
      <c r="EB8" s="55" t="s">
        <v>87</v>
      </c>
      <c r="EC8" s="67" t="str">
        <f t="array" ref="EC8">IFERROR(INDEX('Resument Total - Ofertas Proyec'!$B:$B,MATCH(EF8,'Resument Total - Ofertas Proyec'!$D:$D,0)),"")</f>
        <v>SDATOOL-51125</v>
      </c>
      <c r="ED8" s="67" t="str">
        <f t="array" ref="ED8">IFERROR(INDEX('Imputación TR - Proyecto-Quince'!$B:$B,MATCH(EF8,'Imputación TR - Proyecto-Quince'!$C:$C,0)),"")</f>
        <v>Migración FX y MM. Apagado Midas - Operaciones</v>
      </c>
      <c r="EE8" s="61"/>
      <c r="EF8" s="24" t="s">
        <v>38</v>
      </c>
      <c r="EG8" s="24" t="str">
        <f t="shared" si="14"/>
        <v/>
      </c>
      <c r="EH8" s="144" t="s">
        <v>83</v>
      </c>
      <c r="EI8" s="64" t="s">
        <v>81</v>
      </c>
      <c r="EJ8" s="70" t="str">
        <f t="shared" si="29"/>
        <v>-</v>
      </c>
      <c r="EK8" s="57">
        <f t="shared" si="30"/>
        <v>59</v>
      </c>
      <c r="EL8" s="64">
        <v>15.0</v>
      </c>
      <c r="EM8" s="64">
        <v>15.0</v>
      </c>
      <c r="EN8" s="64">
        <v>15.0</v>
      </c>
      <c r="EO8" s="64">
        <v>14.0</v>
      </c>
      <c r="EP8" s="80"/>
      <c r="EQ8" s="80"/>
      <c r="ER8" s="83"/>
      <c r="ES8" s="83"/>
      <c r="ET8" s="83"/>
      <c r="EU8" s="83"/>
      <c r="EV8" s="83"/>
      <c r="EW8" s="82"/>
      <c r="EX8" s="82"/>
      <c r="EY8" s="83"/>
      <c r="EZ8" s="83"/>
    </row>
    <row r="9" ht="18.0" customHeight="1">
      <c r="A9" s="88"/>
      <c r="B9" s="72" t="str">
        <f t="array" ref="B9">IFERROR(INDEX('Imputación TR - Proyecto-Quince'!$A:$A,MATCH(E9,'Imputación TR - Proyecto-Quince'!$C:$C,0)),"")</f>
        <v/>
      </c>
      <c r="C9" s="72" t="str">
        <f t="array" ref="C9">IFERROR(INDEX('Imputación TR - Proyecto-Quince'!$B:$B,MATCH(E9,'Imputación TR - Proyecto-Quince'!$C:$C,0)),"")</f>
        <v/>
      </c>
      <c r="D9" s="72"/>
      <c r="E9" s="68"/>
      <c r="F9" s="68" t="str">
        <f t="shared" ref="F9:F10" si="33">IF(I9="Otras Tecnologías","GoldenSource","")</f>
        <v/>
      </c>
      <c r="G9" s="72" t="s">
        <v>82</v>
      </c>
      <c r="H9" s="68"/>
      <c r="I9" s="70" t="str">
        <f t="shared" ref="I9:I10" si="34">IF(OR(H9="Codificación",H9="Pruebas"),"Otras Tecnologías","-")</f>
        <v>-</v>
      </c>
      <c r="J9" s="72">
        <f t="shared" si="17"/>
        <v>0</v>
      </c>
      <c r="K9" s="92"/>
      <c r="L9" s="90"/>
      <c r="M9" s="90"/>
      <c r="N9" s="91"/>
      <c r="O9" s="91"/>
      <c r="P9" s="92"/>
      <c r="Q9" s="92"/>
      <c r="R9" s="92"/>
      <c r="S9" s="92"/>
      <c r="T9" s="92"/>
      <c r="U9" s="91"/>
      <c r="V9" s="91"/>
      <c r="W9" s="92"/>
      <c r="X9" s="92"/>
      <c r="Y9" s="93"/>
      <c r="Z9" s="94"/>
      <c r="AA9" s="88"/>
      <c r="AB9" s="68" t="str">
        <f t="array" ref="AB9">IFERROR(INDEX('Resument Total - Ofertas Proyec'!$B:$B,MATCH(AE9,'Resument Total - Ofertas Proyec'!$D:$D,0)),"")</f>
        <v/>
      </c>
      <c r="AC9" s="68" t="str">
        <f t="array" ref="AC9">IFERROR(INDEX('Imputación TR - Proyecto-Quince'!$B:$B,MATCH(AE9,'Imputación TR - Proyecto-Quince'!$C:$C,0)),"")</f>
        <v/>
      </c>
      <c r="AD9" s="68"/>
      <c r="AE9" s="68"/>
      <c r="AF9" s="68" t="str">
        <f t="shared" si="18"/>
        <v/>
      </c>
      <c r="AG9" s="72" t="s">
        <v>82</v>
      </c>
      <c r="AH9" s="68"/>
      <c r="AI9" s="70" t="str">
        <f t="shared" si="19"/>
        <v>-</v>
      </c>
      <c r="AJ9" s="72">
        <f t="shared" si="20"/>
        <v>0</v>
      </c>
      <c r="AK9" s="98"/>
      <c r="AL9" s="98"/>
      <c r="AM9" s="97"/>
      <c r="AN9" s="97"/>
      <c r="AO9" s="98"/>
      <c r="AP9" s="98"/>
      <c r="AQ9" s="98"/>
      <c r="AR9" s="98"/>
      <c r="AS9" s="98"/>
      <c r="AT9" s="97"/>
      <c r="AU9" s="97"/>
      <c r="AV9" s="98"/>
      <c r="AW9" s="98"/>
      <c r="AX9" s="98"/>
      <c r="AY9" s="137"/>
      <c r="AZ9" s="94"/>
      <c r="BA9" s="88"/>
      <c r="BB9" s="68" t="str">
        <f t="array" ref="BB9">IFERROR(INDEX('Resument Total - Ofertas Proyec'!$B:$B,MATCH(BE9,'Resument Total - Ofertas Proyec'!$D:$D,0)),"")</f>
        <v>SDATOOL-51125</v>
      </c>
      <c r="BC9" s="68" t="str">
        <f t="array" ref="BC9">IFERROR(INDEX('Imputación TR - Proyecto-Quince'!$B:$B,MATCH(BE9,'Imputación TR - Proyecto-Quince'!$C:$C,0)),"")</f>
        <v>Migración FX y MM. Apagado Midas - CLS</v>
      </c>
      <c r="BD9" s="68"/>
      <c r="BE9" s="89" t="s">
        <v>36</v>
      </c>
      <c r="BF9" s="68" t="str">
        <f t="shared" si="21"/>
        <v>GoldenSource</v>
      </c>
      <c r="BG9" s="71" t="s">
        <v>83</v>
      </c>
      <c r="BH9" s="89" t="s">
        <v>84</v>
      </c>
      <c r="BI9" s="70" t="str">
        <f t="shared" si="22"/>
        <v>Otras Tecnologías</v>
      </c>
      <c r="BJ9" s="72">
        <f t="shared" si="7"/>
        <v>75</v>
      </c>
      <c r="BK9" s="99"/>
      <c r="BL9" s="99"/>
      <c r="BM9" s="99"/>
      <c r="BN9" s="89">
        <v>15.0</v>
      </c>
      <c r="BO9" s="89">
        <v>15.0</v>
      </c>
      <c r="BP9" s="89">
        <v>15.0</v>
      </c>
      <c r="BQ9" s="89">
        <v>15.0</v>
      </c>
      <c r="BR9" s="89">
        <v>15.0</v>
      </c>
      <c r="BS9" s="99"/>
      <c r="BT9" s="99"/>
      <c r="BU9" s="92"/>
      <c r="BV9" s="92"/>
      <c r="BW9" s="92"/>
      <c r="BX9" s="92"/>
      <c r="BY9" s="92"/>
      <c r="BZ9" s="94"/>
      <c r="CA9" s="88"/>
      <c r="CB9" s="68" t="str">
        <f t="array" ref="CB9">IFERROR(INDEX('Resument Total - Ofertas Proyec'!$B:$B,MATCH(CE9,'Resument Total - Ofertas Proyec'!$D:$D,0)),"")</f>
        <v/>
      </c>
      <c r="CC9" s="68" t="str">
        <f t="array" ref="CC9">IFERROR(INDEX('Imputación TR - Proyecto-Quince'!$B:$B,MATCH(CE9,'Imputación TR - Proyecto-Quince'!$C:$C,0)),"")</f>
        <v/>
      </c>
      <c r="CD9" s="68"/>
      <c r="CE9" s="68"/>
      <c r="CF9" s="68" t="str">
        <f t="shared" si="23"/>
        <v/>
      </c>
      <c r="CG9" s="72" t="s">
        <v>82</v>
      </c>
      <c r="CH9" s="68"/>
      <c r="CI9" s="70" t="str">
        <f t="shared" si="24"/>
        <v>-</v>
      </c>
      <c r="CJ9" s="72">
        <f t="shared" si="25"/>
        <v>0</v>
      </c>
      <c r="CK9" s="99"/>
      <c r="CL9" s="99"/>
      <c r="CM9" s="92"/>
      <c r="CN9" s="92"/>
      <c r="CO9" s="92"/>
      <c r="CP9" s="92"/>
      <c r="CQ9" s="92"/>
      <c r="CR9" s="99"/>
      <c r="CS9" s="99"/>
      <c r="CT9" s="92"/>
      <c r="CU9" s="92"/>
      <c r="CV9" s="92"/>
      <c r="CW9" s="92"/>
      <c r="CX9" s="92"/>
      <c r="CY9" s="99"/>
      <c r="CZ9" s="100"/>
      <c r="DA9" s="94"/>
      <c r="DB9" s="88"/>
      <c r="DC9" s="68" t="str">
        <f t="array" ref="DC9">IFERROR(INDEX('Resument Total - Ofertas Proyec'!$B:$B,MATCH(DF9,'Resument Total - Ofertas Proyec'!$D:$D,0)),"")</f>
        <v>SDATOOL-51125</v>
      </c>
      <c r="DD9" s="68" t="str">
        <f t="array" ref="DD9">IFERROR(INDEX('Imputación TR - Proyecto-Quince'!$B:$B,MATCH(DF9,'Imputación TR - Proyecto-Quince'!$C:$C,0)),"")</f>
        <v>Migración FX y MM. Apagado Midas - Operaciones</v>
      </c>
      <c r="DE9" s="68"/>
      <c r="DF9" s="24" t="s">
        <v>38</v>
      </c>
      <c r="DG9" s="68" t="str">
        <f t="shared" si="26"/>
        <v/>
      </c>
      <c r="DH9" s="76" t="s">
        <v>83</v>
      </c>
      <c r="DI9" s="71" t="s">
        <v>81</v>
      </c>
      <c r="DJ9" s="70" t="str">
        <f t="shared" si="27"/>
        <v>-</v>
      </c>
      <c r="DK9" s="72">
        <f t="shared" si="28"/>
        <v>135</v>
      </c>
      <c r="DL9" s="89">
        <v>7.0</v>
      </c>
      <c r="DM9" s="89">
        <v>7.0</v>
      </c>
      <c r="DN9" s="89">
        <v>12.0</v>
      </c>
      <c r="DO9" s="89">
        <v>12.0</v>
      </c>
      <c r="DP9" s="89">
        <v>12.0</v>
      </c>
      <c r="DQ9" s="99"/>
      <c r="DR9" s="99"/>
      <c r="DS9" s="102">
        <v>17.0</v>
      </c>
      <c r="DT9" s="102">
        <v>17.0</v>
      </c>
      <c r="DU9" s="102">
        <v>17.0</v>
      </c>
      <c r="DV9" s="102">
        <v>17.0</v>
      </c>
      <c r="DW9" s="102">
        <v>17.0</v>
      </c>
      <c r="DX9" s="145"/>
      <c r="DY9" s="145"/>
      <c r="DZ9" s="102"/>
      <c r="EA9" s="146"/>
      <c r="EB9" s="88"/>
      <c r="EC9" s="143" t="str">
        <f t="array" ref="EC9">IFERROR(INDEX('Resument Total - Ofertas Proyec'!$B:$B,MATCH(EF9,'Resument Total - Ofertas Proyec'!$D:$D,0)),"")</f>
        <v/>
      </c>
      <c r="ED9" s="143" t="str">
        <f t="array" ref="ED9">IFERROR(INDEX('Imputación TR - Proyecto-Quince'!$B:$B,MATCH(EF9,'Imputación TR - Proyecto-Quince'!$C:$C,0)),"")</f>
        <v/>
      </c>
      <c r="EE9" s="89" t="s">
        <v>64</v>
      </c>
      <c r="EF9" s="46"/>
      <c r="EG9" s="46" t="s">
        <v>88</v>
      </c>
      <c r="EH9" s="76" t="s">
        <v>80</v>
      </c>
      <c r="EI9" s="71" t="s">
        <v>81</v>
      </c>
      <c r="EJ9" s="70" t="str">
        <f t="shared" si="29"/>
        <v>-</v>
      </c>
      <c r="EK9" s="143">
        <f t="shared" si="30"/>
        <v>60</v>
      </c>
      <c r="EL9" s="92"/>
      <c r="EM9" s="92"/>
      <c r="EN9" s="92"/>
      <c r="EO9" s="92"/>
      <c r="EP9" s="99"/>
      <c r="EQ9" s="99"/>
      <c r="ER9" s="102">
        <v>9.0</v>
      </c>
      <c r="ES9" s="102">
        <v>9.0</v>
      </c>
      <c r="ET9" s="102">
        <v>9.0</v>
      </c>
      <c r="EU9" s="102">
        <v>9.0</v>
      </c>
      <c r="EV9" s="102">
        <v>6.0</v>
      </c>
      <c r="EW9" s="145"/>
      <c r="EX9" s="145"/>
      <c r="EY9" s="102">
        <v>9.0</v>
      </c>
      <c r="EZ9" s="102">
        <v>9.0</v>
      </c>
    </row>
    <row r="10" ht="18.0" customHeight="1">
      <c r="A10" s="107"/>
      <c r="B10" s="147" t="str">
        <f t="array" ref="B10">IFERROR(INDEX('Imputación TR - Proyecto-Quince'!$A:$A,MATCH(E10,'Imputación TR - Proyecto-Quince'!$C:$C,0)),"")</f>
        <v/>
      </c>
      <c r="C10" s="147" t="str">
        <f t="array" ref="C10">IFERROR(INDEX('Imputación TR - Proyecto-Quince'!$B:$B,MATCH(E10,'Imputación TR - Proyecto-Quince'!$C:$C,0)),"")</f>
        <v/>
      </c>
      <c r="D10" s="147"/>
      <c r="E10" s="148"/>
      <c r="F10" s="148" t="str">
        <f t="shared" si="33"/>
        <v/>
      </c>
      <c r="G10" s="147" t="s">
        <v>82</v>
      </c>
      <c r="H10" s="148"/>
      <c r="I10" s="149" t="str">
        <f t="shared" si="34"/>
        <v>-</v>
      </c>
      <c r="J10" s="147">
        <f t="shared" si="17"/>
        <v>0</v>
      </c>
      <c r="K10" s="150"/>
      <c r="L10" s="151"/>
      <c r="M10" s="151"/>
      <c r="N10" s="152"/>
      <c r="O10" s="152"/>
      <c r="P10" s="150"/>
      <c r="Q10" s="150"/>
      <c r="R10" s="150"/>
      <c r="S10" s="150"/>
      <c r="T10" s="150"/>
      <c r="U10" s="152"/>
      <c r="V10" s="152"/>
      <c r="W10" s="150"/>
      <c r="X10" s="150"/>
      <c r="Y10" s="153"/>
      <c r="Z10" s="154"/>
      <c r="AA10" s="107"/>
      <c r="AB10" s="148" t="str">
        <f t="array" ref="AB10">IFERROR(INDEX('Resument Total - Ofertas Proyec'!$B:$B,MATCH(AE10,'Resument Total - Ofertas Proyec'!$D:$D,0)),"")</f>
        <v/>
      </c>
      <c r="AC10" s="148" t="str">
        <f t="array" ref="AC10">IFERROR(INDEX('Imputación TR - Proyecto-Quince'!$B:$B,MATCH(AE10,'Imputación TR - Proyecto-Quince'!$C:$C,0)),"")</f>
        <v/>
      </c>
      <c r="AD10" s="148"/>
      <c r="AE10" s="148"/>
      <c r="AF10" s="148" t="str">
        <f t="shared" si="18"/>
        <v/>
      </c>
      <c r="AG10" s="147" t="s">
        <v>82</v>
      </c>
      <c r="AH10" s="148"/>
      <c r="AI10" s="149" t="str">
        <f t="shared" si="19"/>
        <v>-</v>
      </c>
      <c r="AJ10" s="147">
        <f t="shared" si="20"/>
        <v>0</v>
      </c>
      <c r="AK10" s="155"/>
      <c r="AL10" s="155"/>
      <c r="AM10" s="156"/>
      <c r="AN10" s="156"/>
      <c r="AO10" s="155"/>
      <c r="AP10" s="155"/>
      <c r="AQ10" s="155"/>
      <c r="AR10" s="155"/>
      <c r="AS10" s="155"/>
      <c r="AT10" s="156"/>
      <c r="AU10" s="156"/>
      <c r="AV10" s="155"/>
      <c r="AW10" s="155"/>
      <c r="AX10" s="155"/>
      <c r="AY10" s="157"/>
      <c r="AZ10" s="154"/>
      <c r="BA10" s="107"/>
      <c r="BB10" s="148" t="str">
        <f t="array" ref="BB10">IFERROR(INDEX('Resument Total - Ofertas Proyec'!$B:$B,MATCH(BE10,'Resument Total - Ofertas Proyec'!$D:$D,0)),"")</f>
        <v/>
      </c>
      <c r="BC10" s="148" t="str">
        <f t="array" ref="BC10">IFERROR(INDEX('Imputación TR - Proyecto-Quince'!$B:$B,MATCH(BE10,'Imputación TR - Proyecto-Quince'!$C:$C,0)),"")</f>
        <v/>
      </c>
      <c r="BD10" s="148"/>
      <c r="BE10" s="148"/>
      <c r="BF10" s="148" t="str">
        <f t="shared" si="21"/>
        <v/>
      </c>
      <c r="BG10" s="147" t="s">
        <v>82</v>
      </c>
      <c r="BH10" s="148"/>
      <c r="BI10" s="149" t="str">
        <f t="shared" si="22"/>
        <v>-</v>
      </c>
      <c r="BJ10" s="147">
        <f t="shared" si="7"/>
        <v>0</v>
      </c>
      <c r="BK10" s="158"/>
      <c r="BL10" s="158"/>
      <c r="BM10" s="158"/>
      <c r="BN10" s="150"/>
      <c r="BO10" s="150"/>
      <c r="BP10" s="150"/>
      <c r="BQ10" s="150"/>
      <c r="BR10" s="150"/>
      <c r="BS10" s="158"/>
      <c r="BT10" s="158"/>
      <c r="BU10" s="150"/>
      <c r="BV10" s="150"/>
      <c r="BW10" s="150"/>
      <c r="BX10" s="150"/>
      <c r="BY10" s="150"/>
      <c r="BZ10" s="154"/>
      <c r="CA10" s="107"/>
      <c r="CB10" s="148" t="str">
        <f t="array" ref="CB10">IFERROR(INDEX('Resument Total - Ofertas Proyec'!$B:$B,MATCH(CE10,'Resument Total - Ofertas Proyec'!$D:$D,0)),"")</f>
        <v/>
      </c>
      <c r="CC10" s="148" t="str">
        <f t="array" ref="CC10">IFERROR(INDEX('Imputación TR - Proyecto-Quince'!$B:$B,MATCH(CE10,'Imputación TR - Proyecto-Quince'!$C:$C,0)),"")</f>
        <v/>
      </c>
      <c r="CD10" s="148"/>
      <c r="CE10" s="148"/>
      <c r="CF10" s="148" t="str">
        <f t="shared" si="23"/>
        <v/>
      </c>
      <c r="CG10" s="147" t="s">
        <v>82</v>
      </c>
      <c r="CH10" s="148"/>
      <c r="CI10" s="149" t="str">
        <f t="shared" si="24"/>
        <v>-</v>
      </c>
      <c r="CJ10" s="147">
        <f t="shared" si="25"/>
        <v>0</v>
      </c>
      <c r="CK10" s="158"/>
      <c r="CL10" s="158"/>
      <c r="CM10" s="150"/>
      <c r="CN10" s="150"/>
      <c r="CO10" s="150"/>
      <c r="CP10" s="150"/>
      <c r="CQ10" s="150"/>
      <c r="CR10" s="158"/>
      <c r="CS10" s="158"/>
      <c r="CT10" s="150"/>
      <c r="CU10" s="150"/>
      <c r="CV10" s="150"/>
      <c r="CW10" s="150"/>
      <c r="CX10" s="150"/>
      <c r="CY10" s="158"/>
      <c r="CZ10" s="159"/>
      <c r="DA10" s="154"/>
      <c r="DB10" s="107"/>
      <c r="DC10" s="148" t="str">
        <f t="array" ref="DC10">IFERROR(INDEX('Resument Total - Ofertas Proyec'!$B:$B,MATCH(DF10,'Resument Total - Ofertas Proyec'!$D:$D,0)),"")</f>
        <v/>
      </c>
      <c r="DD10" s="148" t="str">
        <f t="array" ref="DD10">IFERROR(INDEX('Imputación TR - Proyecto-Quince'!$B:$B,MATCH(DF10,'Imputación TR - Proyecto-Quince'!$C:$C,0)),"")</f>
        <v/>
      </c>
      <c r="DE10" s="160" t="s">
        <v>64</v>
      </c>
      <c r="DF10" s="148"/>
      <c r="DG10" s="148" t="str">
        <f t="shared" si="26"/>
        <v/>
      </c>
      <c r="DH10" s="160" t="s">
        <v>80</v>
      </c>
      <c r="DI10" s="147" t="s">
        <v>81</v>
      </c>
      <c r="DJ10" s="149" t="str">
        <f t="shared" si="27"/>
        <v>-</v>
      </c>
      <c r="DK10" s="147">
        <f t="shared" si="28"/>
        <v>9</v>
      </c>
      <c r="DL10" s="150"/>
      <c r="DM10" s="150"/>
      <c r="DN10" s="150"/>
      <c r="DO10" s="150"/>
      <c r="DP10" s="150"/>
      <c r="DQ10" s="158"/>
      <c r="DR10" s="158"/>
      <c r="DS10" s="161"/>
      <c r="DT10" s="161"/>
      <c r="DU10" s="161"/>
      <c r="DV10" s="161"/>
      <c r="DW10" s="161"/>
      <c r="DX10" s="162"/>
      <c r="DY10" s="162"/>
      <c r="DZ10" s="163">
        <v>9.0</v>
      </c>
      <c r="EA10" s="154"/>
      <c r="EB10" s="107"/>
      <c r="EC10" s="148" t="str">
        <f t="array" ref="EC10">IFERROR(INDEX('Resument Total - Ofertas Proyec'!$B:$B,MATCH(EF10,'Resument Total - Ofertas Proyec'!$D:$D,0)),"")</f>
        <v/>
      </c>
      <c r="ED10" s="148" t="str">
        <f t="array" ref="ED10">IFERROR(INDEX('Imputación TR - Proyecto-Quince'!$B:$B,MATCH(EF10,'Imputación TR - Proyecto-Quince'!$C:$C,0)),"")</f>
        <v/>
      </c>
      <c r="EE10" s="148"/>
      <c r="EF10" s="148"/>
      <c r="EG10" s="148" t="str">
        <f t="shared" ref="EG10:EG26" si="35">IF(EJ10="Otras Tecnologías","GoldenSource","")</f>
        <v/>
      </c>
      <c r="EH10" s="147" t="s">
        <v>82</v>
      </c>
      <c r="EI10" s="148"/>
      <c r="EJ10" s="149" t="str">
        <f t="shared" si="29"/>
        <v>-</v>
      </c>
      <c r="EK10" s="147">
        <f t="shared" si="30"/>
        <v>0</v>
      </c>
      <c r="EL10" s="150"/>
      <c r="EM10" s="150"/>
      <c r="EN10" s="150"/>
      <c r="EO10" s="150"/>
      <c r="EP10" s="158"/>
      <c r="EQ10" s="158"/>
      <c r="ER10" s="161"/>
      <c r="ES10" s="161"/>
      <c r="ET10" s="161"/>
      <c r="EU10" s="161"/>
      <c r="EV10" s="161"/>
      <c r="EW10" s="162"/>
      <c r="EX10" s="162"/>
      <c r="EY10" s="161"/>
      <c r="EZ10" s="161"/>
    </row>
    <row r="11" ht="18.0" customHeight="1">
      <c r="A11" s="164" t="s">
        <v>89</v>
      </c>
      <c r="B11" s="165" t="str">
        <f t="array" ref="B11">IFERROR(INDEX('Imputación TR - Proyecto-Quince'!$A:$A,MATCH(E11,'Imputación TR - Proyecto-Quince'!$C:$C,0)),"")</f>
        <v/>
      </c>
      <c r="C11" s="165"/>
      <c r="D11" s="166" t="s">
        <v>64</v>
      </c>
      <c r="E11" s="167"/>
      <c r="F11" s="167"/>
      <c r="G11" s="166" t="s">
        <v>80</v>
      </c>
      <c r="H11" s="168" t="s">
        <v>81</v>
      </c>
      <c r="I11" s="169" t="s">
        <v>82</v>
      </c>
      <c r="J11" s="166">
        <f t="shared" si="17"/>
        <v>87</v>
      </c>
      <c r="K11" s="170">
        <v>9.0</v>
      </c>
      <c r="L11" s="171">
        <v>9.0</v>
      </c>
      <c r="M11" s="171"/>
      <c r="N11" s="172"/>
      <c r="O11" s="172"/>
      <c r="P11" s="173">
        <v>9.0</v>
      </c>
      <c r="Q11" s="173">
        <v>9.0</v>
      </c>
      <c r="R11" s="173">
        <v>9.0</v>
      </c>
      <c r="S11" s="173">
        <v>9.0</v>
      </c>
      <c r="T11" s="173">
        <v>6.0</v>
      </c>
      <c r="U11" s="172"/>
      <c r="V11" s="172"/>
      <c r="W11" s="173">
        <v>9.0</v>
      </c>
      <c r="X11" s="173">
        <v>9.0</v>
      </c>
      <c r="Y11" s="174">
        <v>9.0</v>
      </c>
      <c r="Z11" s="175"/>
      <c r="AA11" s="164" t="s">
        <v>89</v>
      </c>
      <c r="AB11" s="176" t="str">
        <f t="array" ref="AB11">IFERROR(INDEX('Resument Total - Ofertas Proyec'!$B:$B,MATCH(AE11,'Resument Total - Ofertas Proyec'!$D:$D,0)),"")</f>
        <v>SDATOOL-51827</v>
      </c>
      <c r="AC11" s="176" t="str">
        <f t="array" ref="AC11">IFERROR(INDEX('Imputación TR - Proyecto-Quince'!$B:$B,MATCH(AE11,'Imputación TR - Proyecto-Quince'!$C:$C,0)),"")</f>
        <v>Eventos Corporativos</v>
      </c>
      <c r="AD11" s="167"/>
      <c r="AE11" s="177" t="s">
        <v>51</v>
      </c>
      <c r="AF11" s="166" t="str">
        <f t="shared" si="18"/>
        <v/>
      </c>
      <c r="AG11" s="178" t="s">
        <v>83</v>
      </c>
      <c r="AH11" s="173" t="s">
        <v>81</v>
      </c>
      <c r="AI11" s="169" t="str">
        <f t="shared" si="19"/>
        <v>-</v>
      </c>
      <c r="AJ11" s="166">
        <f t="shared" si="20"/>
        <v>110</v>
      </c>
      <c r="AK11" s="173">
        <v>10.0</v>
      </c>
      <c r="AL11" s="173">
        <v>10.0</v>
      </c>
      <c r="AM11" s="179"/>
      <c r="AN11" s="179"/>
      <c r="AO11" s="173">
        <v>10.0</v>
      </c>
      <c r="AP11" s="173">
        <v>10.0</v>
      </c>
      <c r="AQ11" s="173">
        <v>10.0</v>
      </c>
      <c r="AR11" s="173">
        <v>10.0</v>
      </c>
      <c r="AS11" s="173">
        <v>10.0</v>
      </c>
      <c r="AT11" s="179"/>
      <c r="AU11" s="179"/>
      <c r="AV11" s="173">
        <v>10.0</v>
      </c>
      <c r="AW11" s="173">
        <v>10.0</v>
      </c>
      <c r="AX11" s="173">
        <v>10.0</v>
      </c>
      <c r="AY11" s="173">
        <v>10.0</v>
      </c>
      <c r="AZ11" s="175"/>
      <c r="BA11" s="164" t="s">
        <v>89</v>
      </c>
      <c r="BB11" s="176" t="str">
        <f t="array" ref="BB11">IFERROR(INDEX('Resument Total - Ofertas Proyec'!$B:$B,MATCH(BE11,'Resument Total - Ofertas Proyec'!$D:$D,0)),"")</f>
        <v>SDATOOL-51827</v>
      </c>
      <c r="BC11" s="176" t="str">
        <f t="array" ref="BC11">IFERROR(INDEX('Imputación TR - Proyecto-Quince'!$B:$B,MATCH(BE11,'Imputación TR - Proyecto-Quince'!$C:$C,0)),"")</f>
        <v>Eventos Corporativos</v>
      </c>
      <c r="BD11" s="167"/>
      <c r="BE11" s="177" t="s">
        <v>51</v>
      </c>
      <c r="BF11" s="166" t="str">
        <f t="shared" si="21"/>
        <v>GoldenSource</v>
      </c>
      <c r="BG11" s="178" t="s">
        <v>83</v>
      </c>
      <c r="BH11" s="173" t="s">
        <v>84</v>
      </c>
      <c r="BI11" s="169" t="str">
        <f t="shared" si="22"/>
        <v>Otras Tecnologías</v>
      </c>
      <c r="BJ11" s="166">
        <f t="shared" si="7"/>
        <v>150</v>
      </c>
      <c r="BK11" s="179"/>
      <c r="BL11" s="179"/>
      <c r="BM11" s="179"/>
      <c r="BN11" s="173">
        <v>15.0</v>
      </c>
      <c r="BO11" s="173">
        <v>15.0</v>
      </c>
      <c r="BP11" s="173">
        <v>15.0</v>
      </c>
      <c r="BQ11" s="173">
        <v>15.0</v>
      </c>
      <c r="BR11" s="173">
        <v>15.0</v>
      </c>
      <c r="BS11" s="179"/>
      <c r="BT11" s="179"/>
      <c r="BU11" s="173">
        <v>15.0</v>
      </c>
      <c r="BV11" s="173">
        <v>15.0</v>
      </c>
      <c r="BW11" s="173">
        <v>15.0</v>
      </c>
      <c r="BX11" s="173">
        <v>15.0</v>
      </c>
      <c r="BY11" s="173">
        <v>15.0</v>
      </c>
      <c r="BZ11" s="175"/>
      <c r="CA11" s="164" t="s">
        <v>89</v>
      </c>
      <c r="CB11" s="176" t="str">
        <f t="array" ref="CB11">IFERROR(INDEX('Resument Total - Ofertas Proyec'!$B:$B,MATCH(CE11,'Resument Total - Ofertas Proyec'!$D:$D,0)),"")</f>
        <v>SDATOOL-38779</v>
      </c>
      <c r="CC11" s="176" t="str">
        <f t="array" ref="CC11">IFERROR(INDEX('Imputación TR - Proyecto-Quince'!$B:$B,MATCH(CE11,'Imputación TR - Proyecto-Quince'!$C:$C,0)),"")</f>
        <v>Sec Lending_Sponsored Repo</v>
      </c>
      <c r="CD11" s="167"/>
      <c r="CE11" s="180" t="s">
        <v>54</v>
      </c>
      <c r="CF11" s="166" t="str">
        <f t="shared" si="23"/>
        <v>GoldenSource</v>
      </c>
      <c r="CG11" s="178" t="s">
        <v>83</v>
      </c>
      <c r="CH11" s="173" t="s">
        <v>84</v>
      </c>
      <c r="CI11" s="169" t="str">
        <f t="shared" si="24"/>
        <v>Otras Tecnologías</v>
      </c>
      <c r="CJ11" s="166">
        <f t="shared" si="25"/>
        <v>150</v>
      </c>
      <c r="CK11" s="179"/>
      <c r="CL11" s="179"/>
      <c r="CM11" s="173">
        <v>15.0</v>
      </c>
      <c r="CN11" s="173">
        <v>15.0</v>
      </c>
      <c r="CO11" s="173">
        <v>15.0</v>
      </c>
      <c r="CP11" s="173">
        <v>15.0</v>
      </c>
      <c r="CQ11" s="173">
        <v>15.0</v>
      </c>
      <c r="CR11" s="179"/>
      <c r="CS11" s="179"/>
      <c r="CT11" s="173">
        <v>15.0</v>
      </c>
      <c r="CU11" s="173">
        <v>15.0</v>
      </c>
      <c r="CV11" s="173">
        <v>15.0</v>
      </c>
      <c r="CW11" s="173">
        <v>15.0</v>
      </c>
      <c r="CX11" s="173">
        <v>15.0</v>
      </c>
      <c r="CY11" s="179"/>
      <c r="CZ11" s="181"/>
      <c r="DA11" s="175"/>
      <c r="DB11" s="164" t="s">
        <v>89</v>
      </c>
      <c r="DC11" s="176" t="str">
        <f t="array" ref="DC11">IFERROR(INDEX('Resument Total - Ofertas Proyec'!$B:$B,MATCH(DF11,'Resument Total - Ofertas Proyec'!$D:$D,0)),"")</f>
        <v>SDATOOL-46848</v>
      </c>
      <c r="DD11" s="176" t="str">
        <f t="array" ref="DD11">IFERROR(INDEX('Imputación TR - Proyecto-Quince'!$B:$B,MATCH(DF11,'Imputación TR - Proyecto-Quince'!$C:$C,0)),"")</f>
        <v>Institutional Clients. Onboarding.</v>
      </c>
      <c r="DE11" s="167"/>
      <c r="DF11" s="177" t="s">
        <v>27</v>
      </c>
      <c r="DG11" s="166" t="str">
        <f t="shared" si="26"/>
        <v>GoldenSource</v>
      </c>
      <c r="DH11" s="178" t="s">
        <v>83</v>
      </c>
      <c r="DI11" s="173" t="s">
        <v>86</v>
      </c>
      <c r="DJ11" s="169" t="str">
        <f t="shared" si="27"/>
        <v>Otras Tecnologías</v>
      </c>
      <c r="DK11" s="166">
        <f t="shared" si="28"/>
        <v>35</v>
      </c>
      <c r="DL11" s="173">
        <v>10.0</v>
      </c>
      <c r="DM11" s="173">
        <v>10.0</v>
      </c>
      <c r="DN11" s="173">
        <v>10.0</v>
      </c>
      <c r="DO11" s="173">
        <v>5.0</v>
      </c>
      <c r="DP11" s="168"/>
      <c r="DQ11" s="179"/>
      <c r="DR11" s="179"/>
      <c r="DS11" s="182"/>
      <c r="DT11" s="182"/>
      <c r="DU11" s="182"/>
      <c r="DV11" s="182"/>
      <c r="DW11" s="182"/>
      <c r="DX11" s="183"/>
      <c r="DY11" s="183"/>
      <c r="DZ11" s="182"/>
      <c r="EA11" s="175"/>
      <c r="EB11" s="164" t="s">
        <v>89</v>
      </c>
      <c r="EC11" s="176" t="str">
        <f t="array" ref="EC11">IFERROR(INDEX('Resument Total - Ofertas Proyec'!$B:$B,MATCH(EF11,'Resument Total - Ofertas Proyec'!$D:$D,0)),"")</f>
        <v/>
      </c>
      <c r="ED11" s="176" t="str">
        <f t="array" ref="ED11">IFERROR(INDEX('Imputación TR - Proyecto-Quince'!$B:$B,MATCH(EF11,'Imputación TR - Proyecto-Quince'!$C:$C,0)),"")</f>
        <v/>
      </c>
      <c r="EE11" s="61" t="s">
        <v>64</v>
      </c>
      <c r="EF11" s="184"/>
      <c r="EG11" s="184" t="str">
        <f t="shared" si="35"/>
        <v/>
      </c>
      <c r="EH11" s="144" t="s">
        <v>80</v>
      </c>
      <c r="EI11" s="64" t="s">
        <v>81</v>
      </c>
      <c r="EJ11" s="70" t="str">
        <f t="shared" si="29"/>
        <v>-</v>
      </c>
      <c r="EK11" s="57">
        <f t="shared" si="30"/>
        <v>93</v>
      </c>
      <c r="EL11" s="64">
        <v>9.0</v>
      </c>
      <c r="EM11" s="64">
        <v>9.0</v>
      </c>
      <c r="EN11" s="64">
        <v>9.0</v>
      </c>
      <c r="EO11" s="64">
        <v>6.0</v>
      </c>
      <c r="EP11" s="80"/>
      <c r="EQ11" s="80"/>
      <c r="ER11" s="83">
        <v>9.0</v>
      </c>
      <c r="ES11" s="83">
        <v>9.0</v>
      </c>
      <c r="ET11" s="83">
        <v>9.0</v>
      </c>
      <c r="EU11" s="83">
        <v>9.0</v>
      </c>
      <c r="EV11" s="83">
        <v>6.0</v>
      </c>
      <c r="EW11" s="82"/>
      <c r="EX11" s="82"/>
      <c r="EY11" s="83">
        <v>9.0</v>
      </c>
      <c r="EZ11" s="83">
        <v>9.0</v>
      </c>
    </row>
    <row r="12" ht="18.0" customHeight="1">
      <c r="A12" s="88"/>
      <c r="B12" s="46" t="str">
        <f t="array" ref="B12">IFERROR(INDEX('Imputación TR - Proyecto-Quince'!$A:$A,MATCH(E12,'Imputación TR - Proyecto-Quince'!$C:$C,0)),"")</f>
        <v/>
      </c>
      <c r="C12" s="46" t="str">
        <f t="array" ref="C12">IFERROR(INDEX('Imputación TR - Proyecto-Quince'!$B:$B,MATCH(E12,'Imputación TR - Proyecto-Quince'!$C:$C,0)),"")</f>
        <v/>
      </c>
      <c r="D12" s="72"/>
      <c r="E12" s="46"/>
      <c r="F12" s="46" t="str">
        <f t="shared" ref="F12:F13" si="36">IF(I12="Otras Tecnologías","GoldenSource","")</f>
        <v/>
      </c>
      <c r="G12" s="46" t="s">
        <v>82</v>
      </c>
      <c r="H12" s="72"/>
      <c r="I12" s="70" t="str">
        <f t="shared" ref="I12:I13" si="37">IF(OR(H12="Codificación",H12="Pruebas"),"Otras Tecnologías","-")</f>
        <v>-</v>
      </c>
      <c r="J12" s="46">
        <f t="shared" si="17"/>
        <v>0</v>
      </c>
      <c r="K12" s="92"/>
      <c r="L12" s="90"/>
      <c r="M12" s="90"/>
      <c r="N12" s="91"/>
      <c r="O12" s="91"/>
      <c r="P12" s="92"/>
      <c r="Q12" s="92"/>
      <c r="R12" s="92"/>
      <c r="S12" s="92"/>
      <c r="T12" s="92"/>
      <c r="U12" s="91"/>
      <c r="V12" s="91"/>
      <c r="W12" s="92"/>
      <c r="X12" s="92"/>
      <c r="Y12" s="93"/>
      <c r="Z12" s="94"/>
      <c r="AA12" s="88"/>
      <c r="AB12" s="46" t="str">
        <f t="array" ref="AB12">IFERROR(INDEX('Resument Total - Ofertas Proyec'!$B:$B,MATCH(AE12,'Resument Total - Ofertas Proyec'!$D:$D,0)),"")</f>
        <v/>
      </c>
      <c r="AC12" s="46" t="str">
        <f t="array" ref="AC12">IFERROR(INDEX('Imputación TR - Proyecto-Quince'!$B:$B,MATCH(AE12,'Imputación TR - Proyecto-Quince'!$C:$C,0)),"")</f>
        <v/>
      </c>
      <c r="AD12" s="68"/>
      <c r="AE12" s="46"/>
      <c r="AF12" s="46" t="str">
        <f t="shared" si="18"/>
        <v/>
      </c>
      <c r="AG12" s="46" t="s">
        <v>82</v>
      </c>
      <c r="AH12" s="72"/>
      <c r="AI12" s="70" t="str">
        <f t="shared" si="19"/>
        <v>-</v>
      </c>
      <c r="AJ12" s="46">
        <f t="shared" si="20"/>
        <v>0</v>
      </c>
      <c r="AK12" s="98"/>
      <c r="AL12" s="98"/>
      <c r="AM12" s="97"/>
      <c r="AN12" s="97"/>
      <c r="AO12" s="98"/>
      <c r="AP12" s="98"/>
      <c r="AQ12" s="98"/>
      <c r="AR12" s="98"/>
      <c r="AS12" s="98"/>
      <c r="AT12" s="97"/>
      <c r="AU12" s="97"/>
      <c r="AV12" s="98"/>
      <c r="AW12" s="98"/>
      <c r="AX12" s="98"/>
      <c r="AY12" s="137"/>
      <c r="AZ12" s="94"/>
      <c r="BA12" s="88"/>
      <c r="BB12" s="46" t="str">
        <f t="array" ref="BB12">IFERROR(INDEX('Resument Total - Ofertas Proyec'!$B:$B,MATCH(BE12,'Resument Total - Ofertas Proyec'!$D:$D,0)),"")</f>
        <v/>
      </c>
      <c r="BC12" s="46" t="str">
        <f t="array" ref="BC12">IFERROR(INDEX('Imputación TR - Proyecto-Quince'!$B:$B,MATCH(BE12,'Imputación TR - Proyecto-Quince'!$C:$C,0)),"")</f>
        <v/>
      </c>
      <c r="BD12" s="68"/>
      <c r="BE12" s="46"/>
      <c r="BF12" s="46" t="str">
        <f t="shared" si="21"/>
        <v/>
      </c>
      <c r="BG12" s="77"/>
      <c r="BH12" s="72"/>
      <c r="BI12" s="70" t="str">
        <f t="shared" si="22"/>
        <v>-</v>
      </c>
      <c r="BJ12" s="46">
        <f t="shared" si="7"/>
        <v>0</v>
      </c>
      <c r="BK12" s="99"/>
      <c r="BL12" s="99"/>
      <c r="BM12" s="99"/>
      <c r="BN12" s="92"/>
      <c r="BO12" s="92"/>
      <c r="BP12" s="92"/>
      <c r="BQ12" s="92"/>
      <c r="BR12" s="92"/>
      <c r="BS12" s="99"/>
      <c r="BT12" s="99"/>
      <c r="BU12" s="92"/>
      <c r="BV12" s="92"/>
      <c r="BW12" s="92"/>
      <c r="BX12" s="92"/>
      <c r="BY12" s="92"/>
      <c r="BZ12" s="94"/>
      <c r="CA12" s="88"/>
      <c r="CB12" s="46" t="str">
        <f t="array" ref="CB12">IFERROR(INDEX('Resument Total - Ofertas Proyec'!$B:$B,MATCH(CE12,'Resument Total - Ofertas Proyec'!$D:$D,0)),"")</f>
        <v/>
      </c>
      <c r="CC12" s="46" t="str">
        <f t="array" ref="CC12">IFERROR(INDEX('Imputación TR - Proyecto-Quince'!$B:$B,MATCH(CE12,'Imputación TR - Proyecto-Quince'!$C:$C,0)),"")</f>
        <v/>
      </c>
      <c r="CD12" s="68"/>
      <c r="CE12" s="46"/>
      <c r="CF12" s="46" t="str">
        <f t="shared" si="23"/>
        <v/>
      </c>
      <c r="CG12" s="46" t="s">
        <v>82</v>
      </c>
      <c r="CH12" s="72"/>
      <c r="CI12" s="70" t="str">
        <f t="shared" si="24"/>
        <v>-</v>
      </c>
      <c r="CJ12" s="46">
        <f t="shared" si="25"/>
        <v>0</v>
      </c>
      <c r="CK12" s="99"/>
      <c r="CL12" s="99"/>
      <c r="CM12" s="92"/>
      <c r="CN12" s="92"/>
      <c r="CO12" s="92"/>
      <c r="CP12" s="92"/>
      <c r="CQ12" s="92"/>
      <c r="CR12" s="99"/>
      <c r="CS12" s="99"/>
      <c r="CT12" s="92"/>
      <c r="CU12" s="92"/>
      <c r="CV12" s="92"/>
      <c r="CW12" s="92"/>
      <c r="CX12" s="92"/>
      <c r="CY12" s="99"/>
      <c r="CZ12" s="100"/>
      <c r="DA12" s="94"/>
      <c r="DB12" s="88"/>
      <c r="DC12" s="46" t="str">
        <f t="array" ref="DC12">IFERROR(INDEX('Resument Total - Ofertas Proyec'!$B:$B,MATCH(DF12,'Resument Total - Ofertas Proyec'!$D:$D,0)),"")</f>
        <v/>
      </c>
      <c r="DD12" s="46" t="str">
        <f t="array" ref="DD12">IFERROR(INDEX('Imputación TR - Proyecto-Quince'!$B:$B,MATCH(DF12,'Imputación TR - Proyecto-Quince'!$C:$C,0)),"")</f>
        <v/>
      </c>
      <c r="DE12" s="46" t="s">
        <v>64</v>
      </c>
      <c r="DF12" s="46"/>
      <c r="DG12" s="68"/>
      <c r="DH12" s="76" t="s">
        <v>80</v>
      </c>
      <c r="DI12" s="71" t="s">
        <v>81</v>
      </c>
      <c r="DJ12" s="78" t="s">
        <v>81</v>
      </c>
      <c r="DK12" s="46">
        <f t="shared" si="28"/>
        <v>62</v>
      </c>
      <c r="DL12" s="92"/>
      <c r="DM12" s="92"/>
      <c r="DN12" s="92"/>
      <c r="DO12" s="89">
        <v>5.0</v>
      </c>
      <c r="DP12" s="89">
        <v>6.0</v>
      </c>
      <c r="DQ12" s="99"/>
      <c r="DR12" s="99"/>
      <c r="DS12" s="102">
        <v>9.0</v>
      </c>
      <c r="DT12" s="102">
        <v>9.0</v>
      </c>
      <c r="DU12" s="102">
        <v>9.0</v>
      </c>
      <c r="DV12" s="102">
        <v>9.0</v>
      </c>
      <c r="DW12" s="102">
        <v>6.0</v>
      </c>
      <c r="DX12" s="103"/>
      <c r="DY12" s="103"/>
      <c r="DZ12" s="102">
        <v>9.0</v>
      </c>
      <c r="EA12" s="94"/>
      <c r="EB12" s="88"/>
      <c r="EC12" s="46" t="str">
        <f t="array" ref="EC12">IFERROR(INDEX('Resument Total - Ofertas Proyec'!$B:$B,MATCH(EF12,'Resument Total - Ofertas Proyec'!$D:$D,0)),"")</f>
        <v/>
      </c>
      <c r="ED12" s="46" t="str">
        <f t="array" ref="ED12">IFERROR(INDEX('Imputación TR - Proyecto-Quince'!$B:$B,MATCH(EF12,'Imputación TR - Proyecto-Quince'!$C:$C,0)),"")</f>
        <v/>
      </c>
      <c r="EE12" s="68"/>
      <c r="EF12" s="46"/>
      <c r="EG12" s="46" t="str">
        <f t="shared" si="35"/>
        <v/>
      </c>
      <c r="EH12" s="46" t="s">
        <v>82</v>
      </c>
      <c r="EI12" s="72"/>
      <c r="EJ12" s="70" t="str">
        <f t="shared" si="29"/>
        <v>-</v>
      </c>
      <c r="EK12" s="46">
        <f t="shared" si="30"/>
        <v>0</v>
      </c>
      <c r="EL12" s="92"/>
      <c r="EM12" s="92"/>
      <c r="EN12" s="92"/>
      <c r="EO12" s="92"/>
      <c r="EP12" s="99"/>
      <c r="EQ12" s="99"/>
      <c r="ER12" s="101"/>
      <c r="ES12" s="101"/>
      <c r="ET12" s="101"/>
      <c r="EU12" s="101"/>
      <c r="EV12" s="101"/>
      <c r="EW12" s="103"/>
      <c r="EX12" s="103"/>
      <c r="EY12" s="101"/>
      <c r="EZ12" s="101"/>
    </row>
    <row r="13" ht="18.0" customHeight="1">
      <c r="A13" s="107"/>
      <c r="B13" s="109" t="str">
        <f t="array" ref="B13">IFERROR(INDEX('Imputación TR - Proyecto-Quince'!$A:$A,MATCH(E13,'Imputación TR - Proyecto-Quince'!$C:$C,0)),"")</f>
        <v/>
      </c>
      <c r="C13" s="109" t="str">
        <f t="array" ref="C13">IFERROR(INDEX('Imputación TR - Proyecto-Quince'!$B:$B,MATCH(E13,'Imputación TR - Proyecto-Quince'!$C:$C,0)),"")</f>
        <v/>
      </c>
      <c r="D13" s="109"/>
      <c r="E13" s="119"/>
      <c r="F13" s="119" t="str">
        <f t="shared" si="36"/>
        <v/>
      </c>
      <c r="G13" s="109" t="s">
        <v>82</v>
      </c>
      <c r="H13" s="109"/>
      <c r="I13" s="113" t="str">
        <f t="shared" si="37"/>
        <v>-</v>
      </c>
      <c r="J13" s="109">
        <f t="shared" si="17"/>
        <v>0</v>
      </c>
      <c r="K13" s="116"/>
      <c r="L13" s="114"/>
      <c r="M13" s="114"/>
      <c r="N13" s="115"/>
      <c r="O13" s="115"/>
      <c r="P13" s="116"/>
      <c r="Q13" s="116"/>
      <c r="R13" s="116"/>
      <c r="S13" s="116"/>
      <c r="T13" s="116"/>
      <c r="U13" s="115"/>
      <c r="V13" s="115"/>
      <c r="W13" s="116"/>
      <c r="X13" s="116"/>
      <c r="Y13" s="117"/>
      <c r="Z13" s="94"/>
      <c r="AA13" s="107"/>
      <c r="AB13" s="119" t="str">
        <f t="array" ref="AB13">IFERROR(INDEX('Resument Total - Ofertas Proyec'!$B:$B,MATCH(AE13,'Resument Total - Ofertas Proyec'!$D:$D,0)),"")</f>
        <v/>
      </c>
      <c r="AC13" s="119" t="str">
        <f t="array" ref="AC13">IFERROR(INDEX('Imputación TR - Proyecto-Quince'!$B:$B,MATCH(AE13,'Imputación TR - Proyecto-Quince'!$C:$C,0)),"")</f>
        <v/>
      </c>
      <c r="AD13" s="119"/>
      <c r="AE13" s="119"/>
      <c r="AF13" s="119" t="str">
        <f t="shared" si="18"/>
        <v/>
      </c>
      <c r="AG13" s="109" t="s">
        <v>82</v>
      </c>
      <c r="AH13" s="109"/>
      <c r="AI13" s="113" t="str">
        <f t="shared" si="19"/>
        <v>-</v>
      </c>
      <c r="AJ13" s="109">
        <f t="shared" si="20"/>
        <v>0</v>
      </c>
      <c r="AK13" s="120"/>
      <c r="AL13" s="120"/>
      <c r="AM13" s="121"/>
      <c r="AN13" s="121"/>
      <c r="AO13" s="120"/>
      <c r="AP13" s="120"/>
      <c r="AQ13" s="120"/>
      <c r="AR13" s="120"/>
      <c r="AS13" s="120"/>
      <c r="AT13" s="121"/>
      <c r="AU13" s="121"/>
      <c r="AV13" s="120"/>
      <c r="AW13" s="120"/>
      <c r="AX13" s="120"/>
      <c r="AY13" s="142"/>
      <c r="AZ13" s="94"/>
      <c r="BA13" s="107"/>
      <c r="BB13" s="119" t="str">
        <f t="array" ref="BB13">IFERROR(INDEX('Resument Total - Ofertas Proyec'!$B:$B,MATCH(BE13,'Resument Total - Ofertas Proyec'!$D:$D,0)),"")</f>
        <v/>
      </c>
      <c r="BC13" s="119" t="str">
        <f t="array" ref="BC13">IFERROR(INDEX('Imputación TR - Proyecto-Quince'!$B:$B,MATCH(BE13,'Imputación TR - Proyecto-Quince'!$C:$C,0)),"")</f>
        <v/>
      </c>
      <c r="BD13" s="119"/>
      <c r="BE13" s="119"/>
      <c r="BF13" s="119" t="str">
        <f t="shared" si="21"/>
        <v/>
      </c>
      <c r="BG13" s="109" t="s">
        <v>82</v>
      </c>
      <c r="BH13" s="109"/>
      <c r="BI13" s="113" t="str">
        <f t="shared" si="22"/>
        <v>-</v>
      </c>
      <c r="BJ13" s="109">
        <f t="shared" si="7"/>
        <v>0</v>
      </c>
      <c r="BK13" s="123"/>
      <c r="BL13" s="123"/>
      <c r="BM13" s="123"/>
      <c r="BN13" s="116"/>
      <c r="BO13" s="116"/>
      <c r="BP13" s="116"/>
      <c r="BQ13" s="116"/>
      <c r="BR13" s="116"/>
      <c r="BS13" s="123"/>
      <c r="BT13" s="123"/>
      <c r="BU13" s="116"/>
      <c r="BV13" s="116"/>
      <c r="BW13" s="116"/>
      <c r="BX13" s="116"/>
      <c r="BY13" s="116"/>
      <c r="BZ13" s="94"/>
      <c r="CA13" s="107"/>
      <c r="CB13" s="119" t="str">
        <f t="array" ref="CB13">IFERROR(INDEX('Resument Total - Ofertas Proyec'!$B:$B,MATCH(CE13,'Resument Total - Ofertas Proyec'!$D:$D,0)),"")</f>
        <v/>
      </c>
      <c r="CC13" s="119" t="str">
        <f t="array" ref="CC13">IFERROR(INDEX('Imputación TR - Proyecto-Quince'!$B:$B,MATCH(CE13,'Imputación TR - Proyecto-Quince'!$C:$C,0)),"")</f>
        <v/>
      </c>
      <c r="CD13" s="119"/>
      <c r="CE13" s="119"/>
      <c r="CF13" s="119" t="str">
        <f t="shared" si="23"/>
        <v/>
      </c>
      <c r="CG13" s="109" t="s">
        <v>82</v>
      </c>
      <c r="CH13" s="109"/>
      <c r="CI13" s="113" t="str">
        <f t="shared" si="24"/>
        <v>-</v>
      </c>
      <c r="CJ13" s="109">
        <f t="shared" si="25"/>
        <v>0</v>
      </c>
      <c r="CK13" s="123"/>
      <c r="CL13" s="123"/>
      <c r="CM13" s="116"/>
      <c r="CN13" s="116"/>
      <c r="CO13" s="116"/>
      <c r="CP13" s="116"/>
      <c r="CQ13" s="116"/>
      <c r="CR13" s="123"/>
      <c r="CS13" s="123"/>
      <c r="CT13" s="116"/>
      <c r="CU13" s="116"/>
      <c r="CV13" s="116"/>
      <c r="CW13" s="116"/>
      <c r="CX13" s="116"/>
      <c r="CY13" s="123"/>
      <c r="CZ13" s="124"/>
      <c r="DA13" s="94"/>
      <c r="DB13" s="107"/>
      <c r="DC13" s="119" t="str">
        <f t="array" ref="DC13">IFERROR(INDEX('Resument Total - Ofertas Proyec'!$B:$B,MATCH(DF13,'Resument Total - Ofertas Proyec'!$D:$D,0)),"")</f>
        <v/>
      </c>
      <c r="DD13" s="119" t="str">
        <f t="array" ref="DD13">IFERROR(INDEX('Imputación TR - Proyecto-Quince'!$B:$B,MATCH(DF13,'Imputación TR - Proyecto-Quince'!$C:$C,0)),"")</f>
        <v/>
      </c>
      <c r="DE13" s="119"/>
      <c r="DF13" s="119"/>
      <c r="DG13" s="119" t="str">
        <f t="shared" ref="DG13:DG19" si="38">IF(DJ13="Otras Tecnologías","GoldenSource","")</f>
        <v/>
      </c>
      <c r="DH13" s="109" t="s">
        <v>82</v>
      </c>
      <c r="DI13" s="109"/>
      <c r="DJ13" s="113" t="str">
        <f t="shared" ref="DJ13:DJ26" si="39">IF(OR(DI13="Codificación",DI13="Pruebas"),"Otras Tecnologías","-")</f>
        <v>-</v>
      </c>
      <c r="DK13" s="109">
        <f t="shared" si="28"/>
        <v>0</v>
      </c>
      <c r="DL13" s="116"/>
      <c r="DM13" s="116"/>
      <c r="DN13" s="116"/>
      <c r="DO13" s="116"/>
      <c r="DP13" s="116"/>
      <c r="DQ13" s="123"/>
      <c r="DR13" s="123"/>
      <c r="DS13" s="125"/>
      <c r="DT13" s="125"/>
      <c r="DU13" s="125"/>
      <c r="DV13" s="125"/>
      <c r="DW13" s="125"/>
      <c r="DX13" s="126"/>
      <c r="DY13" s="126"/>
      <c r="DZ13" s="125"/>
      <c r="EA13" s="94"/>
      <c r="EB13" s="107"/>
      <c r="EC13" s="119" t="str">
        <f t="array" ref="EC13">IFERROR(INDEX('Resument Total - Ofertas Proyec'!$B:$B,MATCH(EF13,'Resument Total - Ofertas Proyec'!$D:$D,0)),"")</f>
        <v/>
      </c>
      <c r="ED13" s="119" t="str">
        <f t="array" ref="ED13">IFERROR(INDEX('Imputación TR - Proyecto-Quince'!$B:$B,MATCH(EF13,'Imputación TR - Proyecto-Quince'!$C:$C,0)),"")</f>
        <v/>
      </c>
      <c r="EE13" s="119"/>
      <c r="EF13" s="119"/>
      <c r="EG13" s="119" t="str">
        <f t="shared" si="35"/>
        <v/>
      </c>
      <c r="EH13" s="109" t="s">
        <v>82</v>
      </c>
      <c r="EI13" s="109"/>
      <c r="EJ13" s="113" t="str">
        <f t="shared" si="29"/>
        <v>-</v>
      </c>
      <c r="EK13" s="109">
        <f t="shared" si="30"/>
        <v>0</v>
      </c>
      <c r="EL13" s="116"/>
      <c r="EM13" s="116"/>
      <c r="EN13" s="116"/>
      <c r="EO13" s="116"/>
      <c r="EP13" s="123"/>
      <c r="EQ13" s="123"/>
      <c r="ER13" s="125"/>
      <c r="ES13" s="125"/>
      <c r="ET13" s="125"/>
      <c r="EU13" s="125"/>
      <c r="EV13" s="125"/>
      <c r="EW13" s="126"/>
      <c r="EX13" s="126"/>
      <c r="EY13" s="125"/>
      <c r="EZ13" s="125"/>
    </row>
    <row r="14" ht="18.0" customHeight="1">
      <c r="A14" s="185" t="s">
        <v>90</v>
      </c>
      <c r="B14" s="56" t="str">
        <f t="array" ref="B14">IFERROR(INDEX('Imputación TR - Proyecto-Quince'!$A:$A,MATCH(E14,'Imputación TR - Proyecto-Quince'!$C:$C,0)),"")</f>
        <v/>
      </c>
      <c r="C14" s="56"/>
      <c r="D14" s="57" t="s">
        <v>64</v>
      </c>
      <c r="E14" s="58"/>
      <c r="F14" s="58"/>
      <c r="G14" s="57" t="s">
        <v>80</v>
      </c>
      <c r="H14" s="59" t="s">
        <v>81</v>
      </c>
      <c r="I14" s="60" t="s">
        <v>82</v>
      </c>
      <c r="J14" s="57">
        <f t="shared" si="17"/>
        <v>87</v>
      </c>
      <c r="K14" s="61">
        <v>9.0</v>
      </c>
      <c r="L14" s="62">
        <v>9.0</v>
      </c>
      <c r="M14" s="62"/>
      <c r="N14" s="63"/>
      <c r="O14" s="63"/>
      <c r="P14" s="64">
        <v>9.0</v>
      </c>
      <c r="Q14" s="64">
        <v>9.0</v>
      </c>
      <c r="R14" s="64">
        <v>9.0</v>
      </c>
      <c r="S14" s="64">
        <v>9.0</v>
      </c>
      <c r="T14" s="64">
        <v>6.0</v>
      </c>
      <c r="U14" s="63"/>
      <c r="V14" s="63"/>
      <c r="W14" s="64">
        <v>9.0</v>
      </c>
      <c r="X14" s="64">
        <v>9.0</v>
      </c>
      <c r="Y14" s="65">
        <v>9.0</v>
      </c>
      <c r="Z14" s="66"/>
      <c r="AA14" s="185" t="s">
        <v>90</v>
      </c>
      <c r="AB14" s="67" t="str">
        <f t="array" ref="AB14">IFERROR(INDEX('Resument Total - Ofertas Proyec'!$B:$B,MATCH(AE14,'Resument Total - Ofertas Proyec'!$D:$D,0)),"")</f>
        <v>SDATOOL-51827</v>
      </c>
      <c r="AC14" s="67" t="str">
        <f t="array" ref="AC14">IFERROR(INDEX('Imputación TR - Proyecto-Quince'!$B:$B,MATCH(AE14,'Imputación TR - Proyecto-Quince'!$C:$C,0)),"")</f>
        <v>Eventos Corporativos</v>
      </c>
      <c r="AD14" s="58"/>
      <c r="AE14" s="24" t="s">
        <v>51</v>
      </c>
      <c r="AF14" s="57" t="str">
        <f t="shared" si="18"/>
        <v/>
      </c>
      <c r="AG14" s="69" t="s">
        <v>83</v>
      </c>
      <c r="AH14" s="64" t="s">
        <v>81</v>
      </c>
      <c r="AI14" s="60" t="str">
        <f t="shared" si="19"/>
        <v>-</v>
      </c>
      <c r="AJ14" s="57">
        <f t="shared" si="20"/>
        <v>110</v>
      </c>
      <c r="AK14" s="64">
        <v>10.0</v>
      </c>
      <c r="AL14" s="64">
        <v>10.0</v>
      </c>
      <c r="AM14" s="80"/>
      <c r="AN14" s="80"/>
      <c r="AO14" s="64">
        <v>10.0</v>
      </c>
      <c r="AP14" s="64">
        <v>10.0</v>
      </c>
      <c r="AQ14" s="64">
        <v>10.0</v>
      </c>
      <c r="AR14" s="64">
        <v>10.0</v>
      </c>
      <c r="AS14" s="64">
        <v>10.0</v>
      </c>
      <c r="AT14" s="80"/>
      <c r="AU14" s="80"/>
      <c r="AV14" s="64">
        <v>10.0</v>
      </c>
      <c r="AW14" s="64">
        <v>10.0</v>
      </c>
      <c r="AX14" s="64">
        <v>10.0</v>
      </c>
      <c r="AY14" s="64">
        <v>10.0</v>
      </c>
      <c r="AZ14" s="66"/>
      <c r="BA14" s="185" t="s">
        <v>90</v>
      </c>
      <c r="BB14" s="67" t="str">
        <f t="array" ref="BB14">IFERROR(INDEX('Resument Total - Ofertas Proyec'!$B:$B,MATCH(BE14,'Resument Total - Ofertas Proyec'!$D:$D,0)),"")</f>
        <v>SDATOOL-51827</v>
      </c>
      <c r="BC14" s="67" t="str">
        <f t="array" ref="BC14">IFERROR(INDEX('Imputación TR - Proyecto-Quince'!$B:$B,MATCH(BE14,'Imputación TR - Proyecto-Quince'!$C:$C,0)),"")</f>
        <v>Eventos Corporativos</v>
      </c>
      <c r="BD14" s="58"/>
      <c r="BE14" s="24" t="s">
        <v>51</v>
      </c>
      <c r="BF14" s="57" t="str">
        <f t="shared" si="21"/>
        <v>GoldenSource</v>
      </c>
      <c r="BG14" s="69" t="s">
        <v>83</v>
      </c>
      <c r="BH14" s="64" t="s">
        <v>84</v>
      </c>
      <c r="BI14" s="60" t="str">
        <f t="shared" si="22"/>
        <v>Otras Tecnologías</v>
      </c>
      <c r="BJ14" s="57">
        <f t="shared" si="7"/>
        <v>150</v>
      </c>
      <c r="BK14" s="80"/>
      <c r="BL14" s="80"/>
      <c r="BM14" s="80"/>
      <c r="BN14" s="64">
        <v>15.0</v>
      </c>
      <c r="BO14" s="64">
        <v>15.0</v>
      </c>
      <c r="BP14" s="64">
        <v>15.0</v>
      </c>
      <c r="BQ14" s="64">
        <v>15.0</v>
      </c>
      <c r="BR14" s="64">
        <v>15.0</v>
      </c>
      <c r="BS14" s="80"/>
      <c r="BT14" s="80"/>
      <c r="BU14" s="64">
        <v>15.0</v>
      </c>
      <c r="BV14" s="64">
        <v>15.0</v>
      </c>
      <c r="BW14" s="64">
        <v>15.0</v>
      </c>
      <c r="BX14" s="64">
        <v>15.0</v>
      </c>
      <c r="BY14" s="64">
        <v>15.0</v>
      </c>
      <c r="BZ14" s="66"/>
      <c r="CA14" s="185" t="s">
        <v>90</v>
      </c>
      <c r="CB14" s="67" t="str">
        <f t="array" ref="CB14">IFERROR(INDEX('Resument Total - Ofertas Proyec'!$B:$B,MATCH(CE14,'Resument Total - Ofertas Proyec'!$D:$D,0)),"")</f>
        <v>SDATOOL-38779</v>
      </c>
      <c r="CC14" s="67" t="str">
        <f t="array" ref="CC14">IFERROR(INDEX('Imputación TR - Proyecto-Quince'!$B:$B,MATCH(CE14,'Imputación TR - Proyecto-Quince'!$C:$C,0)),"")</f>
        <v>Sec Lending_Sponsored Repo</v>
      </c>
      <c r="CD14" s="58"/>
      <c r="CE14" s="25" t="s">
        <v>54</v>
      </c>
      <c r="CF14" s="57" t="str">
        <f t="shared" si="23"/>
        <v>GoldenSource</v>
      </c>
      <c r="CG14" s="69" t="s">
        <v>83</v>
      </c>
      <c r="CH14" s="64" t="s">
        <v>84</v>
      </c>
      <c r="CI14" s="60" t="str">
        <f t="shared" si="24"/>
        <v>Otras Tecnologías</v>
      </c>
      <c r="CJ14" s="57">
        <f t="shared" si="25"/>
        <v>150</v>
      </c>
      <c r="CK14" s="80"/>
      <c r="CL14" s="80"/>
      <c r="CM14" s="64">
        <v>15.0</v>
      </c>
      <c r="CN14" s="64">
        <v>15.0</v>
      </c>
      <c r="CO14" s="64">
        <v>15.0</v>
      </c>
      <c r="CP14" s="64">
        <v>15.0</v>
      </c>
      <c r="CQ14" s="64">
        <v>15.0</v>
      </c>
      <c r="CR14" s="80"/>
      <c r="CS14" s="80"/>
      <c r="CT14" s="64">
        <v>15.0</v>
      </c>
      <c r="CU14" s="64">
        <v>15.0</v>
      </c>
      <c r="CV14" s="64">
        <v>15.0</v>
      </c>
      <c r="CW14" s="64">
        <v>15.0</v>
      </c>
      <c r="CX14" s="64">
        <v>15.0</v>
      </c>
      <c r="CY14" s="80"/>
      <c r="CZ14" s="81"/>
      <c r="DA14" s="66"/>
      <c r="DB14" s="185" t="s">
        <v>90</v>
      </c>
      <c r="DC14" s="67" t="str">
        <f t="array" ref="DC14">IFERROR(INDEX('Resument Total - Ofertas Proyec'!$B:$B,MATCH(DF14,'Resument Total - Ofertas Proyec'!$D:$D,0)),"")</f>
        <v>SDATOOL-51827</v>
      </c>
      <c r="DD14" s="67" t="str">
        <f t="array" ref="DD14">IFERROR(INDEX('Imputación TR - Proyecto-Quince'!$B:$B,MATCH(DF14,'Imputación TR - Proyecto-Quince'!$C:$C,0)),"")</f>
        <v>Eventos Corporativos</v>
      </c>
      <c r="DE14" s="58"/>
      <c r="DF14" s="24" t="s">
        <v>51</v>
      </c>
      <c r="DG14" s="57" t="str">
        <f t="shared" si="38"/>
        <v>GoldenSource</v>
      </c>
      <c r="DH14" s="69" t="s">
        <v>83</v>
      </c>
      <c r="DI14" s="64" t="s">
        <v>86</v>
      </c>
      <c r="DJ14" s="60" t="str">
        <f t="shared" si="39"/>
        <v>Otras Tecnologías</v>
      </c>
      <c r="DK14" s="57">
        <f t="shared" si="28"/>
        <v>73</v>
      </c>
      <c r="DL14" s="64">
        <v>15.0</v>
      </c>
      <c r="DM14" s="64">
        <v>15.0</v>
      </c>
      <c r="DN14" s="64">
        <v>15.0</v>
      </c>
      <c r="DO14" s="64">
        <v>15.0</v>
      </c>
      <c r="DP14" s="64">
        <v>13.0</v>
      </c>
      <c r="DQ14" s="80"/>
      <c r="DR14" s="80"/>
      <c r="DS14" s="87"/>
      <c r="DT14" s="87"/>
      <c r="DU14" s="87"/>
      <c r="DV14" s="87"/>
      <c r="DW14" s="87"/>
      <c r="DX14" s="82"/>
      <c r="DY14" s="82"/>
      <c r="DZ14" s="87"/>
      <c r="EA14" s="66"/>
      <c r="EB14" s="185" t="s">
        <v>90</v>
      </c>
      <c r="EC14" s="67" t="str">
        <f t="array" ref="EC14">IFERROR(INDEX('Resument Total - Ofertas Proyec'!$B:$B,MATCH(EF14,'Resument Total - Ofertas Proyec'!$D:$D,0)),"")</f>
        <v/>
      </c>
      <c r="ED14" s="67" t="str">
        <f t="array" ref="ED14">IFERROR(INDEX('Imputación TR - Proyecto-Quince'!$B:$B,MATCH(EF14,'Imputación TR - Proyecto-Quince'!$C:$C,0)),"")</f>
        <v/>
      </c>
      <c r="EE14" s="61" t="s">
        <v>64</v>
      </c>
      <c r="EF14" s="184"/>
      <c r="EG14" s="184" t="str">
        <f t="shared" si="35"/>
        <v/>
      </c>
      <c r="EH14" s="144" t="s">
        <v>80</v>
      </c>
      <c r="EI14" s="64" t="s">
        <v>81</v>
      </c>
      <c r="EJ14" s="70" t="str">
        <f t="shared" si="29"/>
        <v>-</v>
      </c>
      <c r="EK14" s="57">
        <f t="shared" si="30"/>
        <v>93</v>
      </c>
      <c r="EL14" s="64">
        <v>9.0</v>
      </c>
      <c r="EM14" s="64">
        <v>9.0</v>
      </c>
      <c r="EN14" s="64">
        <v>9.0</v>
      </c>
      <c r="EO14" s="64">
        <v>6.0</v>
      </c>
      <c r="EP14" s="80"/>
      <c r="EQ14" s="80"/>
      <c r="ER14" s="83">
        <v>9.0</v>
      </c>
      <c r="ES14" s="83">
        <v>9.0</v>
      </c>
      <c r="ET14" s="83">
        <v>9.0</v>
      </c>
      <c r="EU14" s="83">
        <v>9.0</v>
      </c>
      <c r="EV14" s="83">
        <v>6.0</v>
      </c>
      <c r="EW14" s="82"/>
      <c r="EX14" s="82"/>
      <c r="EY14" s="83">
        <v>9.0</v>
      </c>
      <c r="EZ14" s="83">
        <v>9.0</v>
      </c>
    </row>
    <row r="15" ht="18.0" customHeight="1">
      <c r="A15" s="88"/>
      <c r="B15" s="46" t="str">
        <f t="array" ref="B15">IFERROR(INDEX('Imputación TR - Proyecto-Quince'!$A:$A,MATCH(E15,'Imputación TR - Proyecto-Quince'!$C:$C,0)),"")</f>
        <v/>
      </c>
      <c r="C15" s="46" t="str">
        <f t="array" ref="C15">IFERROR(INDEX('Imputación TR - Proyecto-Quince'!$B:$B,MATCH(E15,'Imputación TR - Proyecto-Quince'!$C:$C,0)),"")</f>
        <v/>
      </c>
      <c r="D15" s="72"/>
      <c r="E15" s="46"/>
      <c r="F15" s="46" t="str">
        <f t="shared" ref="F15:F16" si="40">IF(I15="Otras Tecnologías","GoldenSource","")</f>
        <v/>
      </c>
      <c r="G15" s="46" t="s">
        <v>82</v>
      </c>
      <c r="H15" s="72"/>
      <c r="I15" s="70" t="str">
        <f t="shared" ref="I15:I16" si="41">IF(OR(H15="Codificación",H15="Pruebas"),"Otras Tecnologías","-")</f>
        <v>-</v>
      </c>
      <c r="J15" s="46">
        <f t="shared" si="17"/>
        <v>0</v>
      </c>
      <c r="K15" s="92"/>
      <c r="L15" s="90"/>
      <c r="M15" s="90"/>
      <c r="N15" s="91"/>
      <c r="O15" s="91"/>
      <c r="P15" s="92"/>
      <c r="Q15" s="92"/>
      <c r="R15" s="92"/>
      <c r="S15" s="92"/>
      <c r="T15" s="92"/>
      <c r="U15" s="91"/>
      <c r="V15" s="91"/>
      <c r="W15" s="92"/>
      <c r="X15" s="92"/>
      <c r="Y15" s="93"/>
      <c r="Z15" s="94"/>
      <c r="AA15" s="88"/>
      <c r="AB15" s="46" t="str">
        <f t="array" ref="AB15">IFERROR(INDEX('Resument Total - Ofertas Proyec'!$B:$B,MATCH(AE15,'Resument Total - Ofertas Proyec'!$D:$D,0)),"")</f>
        <v/>
      </c>
      <c r="AC15" s="46" t="str">
        <f t="array" ref="AC15">IFERROR(INDEX('Imputación TR - Proyecto-Quince'!$B:$B,MATCH(AE15,'Imputación TR - Proyecto-Quince'!$C:$C,0)),"")</f>
        <v/>
      </c>
      <c r="AD15" s="68"/>
      <c r="AE15" s="46"/>
      <c r="AF15" s="46" t="str">
        <f t="shared" si="18"/>
        <v/>
      </c>
      <c r="AG15" s="46" t="s">
        <v>82</v>
      </c>
      <c r="AH15" s="72"/>
      <c r="AI15" s="70" t="str">
        <f t="shared" si="19"/>
        <v>-</v>
      </c>
      <c r="AJ15" s="46">
        <f t="shared" si="20"/>
        <v>0</v>
      </c>
      <c r="AK15" s="98"/>
      <c r="AL15" s="98"/>
      <c r="AM15" s="97"/>
      <c r="AN15" s="97"/>
      <c r="AO15" s="98"/>
      <c r="AP15" s="98"/>
      <c r="AQ15" s="98"/>
      <c r="AR15" s="98"/>
      <c r="AS15" s="98"/>
      <c r="AT15" s="97"/>
      <c r="AU15" s="97"/>
      <c r="AV15" s="98"/>
      <c r="AW15" s="98"/>
      <c r="AX15" s="98"/>
      <c r="AY15" s="137"/>
      <c r="AZ15" s="94"/>
      <c r="BA15" s="88"/>
      <c r="BB15" s="46" t="str">
        <f t="array" ref="BB15">IFERROR(INDEX('Resument Total - Ofertas Proyec'!$B:$B,MATCH(BE15,'Resument Total - Ofertas Proyec'!$D:$D,0)),"")</f>
        <v/>
      </c>
      <c r="BC15" s="46" t="str">
        <f t="array" ref="BC15">IFERROR(INDEX('Imputación TR - Proyecto-Quince'!$B:$B,MATCH(BE15,'Imputación TR - Proyecto-Quince'!$C:$C,0)),"")</f>
        <v/>
      </c>
      <c r="BD15" s="68"/>
      <c r="BE15" s="46"/>
      <c r="BF15" s="46" t="str">
        <f t="shared" si="21"/>
        <v/>
      </c>
      <c r="BG15" s="77"/>
      <c r="BH15" s="72"/>
      <c r="BI15" s="70" t="str">
        <f t="shared" si="22"/>
        <v>-</v>
      </c>
      <c r="BJ15" s="46">
        <f t="shared" si="7"/>
        <v>0</v>
      </c>
      <c r="BK15" s="99"/>
      <c r="BL15" s="99"/>
      <c r="BM15" s="99"/>
      <c r="BN15" s="92"/>
      <c r="BO15" s="92"/>
      <c r="BP15" s="92"/>
      <c r="BQ15" s="92"/>
      <c r="BR15" s="92"/>
      <c r="BS15" s="99"/>
      <c r="BT15" s="99"/>
      <c r="BU15" s="92"/>
      <c r="BV15" s="92"/>
      <c r="BW15" s="92"/>
      <c r="BX15" s="92"/>
      <c r="BY15" s="92"/>
      <c r="BZ15" s="94"/>
      <c r="CA15" s="88"/>
      <c r="CB15" s="46" t="str">
        <f t="array" ref="CB15">IFERROR(INDEX('Resument Total - Ofertas Proyec'!$B:$B,MATCH(CE15,'Resument Total - Ofertas Proyec'!$D:$D,0)),"")</f>
        <v/>
      </c>
      <c r="CC15" s="46" t="str">
        <f t="array" ref="CC15">IFERROR(INDEX('Imputación TR - Proyecto-Quince'!$B:$B,MATCH(CE15,'Imputación TR - Proyecto-Quince'!$C:$C,0)),"")</f>
        <v/>
      </c>
      <c r="CD15" s="68"/>
      <c r="CE15" s="24"/>
      <c r="CF15" s="46" t="str">
        <f t="shared" si="23"/>
        <v/>
      </c>
      <c r="CG15" s="76"/>
      <c r="CH15" s="72"/>
      <c r="CI15" s="70" t="str">
        <f t="shared" si="24"/>
        <v>-</v>
      </c>
      <c r="CJ15" s="46">
        <f t="shared" si="25"/>
        <v>0</v>
      </c>
      <c r="CK15" s="99"/>
      <c r="CL15" s="99"/>
      <c r="CM15" s="92"/>
      <c r="CN15" s="92"/>
      <c r="CO15" s="92"/>
      <c r="CP15" s="92"/>
      <c r="CQ15" s="92"/>
      <c r="CR15" s="99"/>
      <c r="CS15" s="99"/>
      <c r="CT15" s="92"/>
      <c r="CU15" s="92"/>
      <c r="CV15" s="92"/>
      <c r="CW15" s="92"/>
      <c r="CX15" s="92"/>
      <c r="CY15" s="99"/>
      <c r="CZ15" s="100"/>
      <c r="DA15" s="94"/>
      <c r="DB15" s="88"/>
      <c r="DC15" s="46" t="str">
        <f t="array" ref="DC15">IFERROR(INDEX('Resument Total - Ofertas Proyec'!$B:$B,MATCH(DF15,'Resument Total - Ofertas Proyec'!$D:$D,0)),"")</f>
        <v/>
      </c>
      <c r="DD15" s="46" t="str">
        <f t="array" ref="DD15">IFERROR(INDEX('Imputación TR - Proyecto-Quince'!$B:$B,MATCH(DF15,'Imputación TR - Proyecto-Quince'!$C:$C,0)),"")</f>
        <v/>
      </c>
      <c r="DE15" s="46" t="s">
        <v>64</v>
      </c>
      <c r="DF15" s="68"/>
      <c r="DG15" s="68" t="str">
        <f t="shared" si="38"/>
        <v/>
      </c>
      <c r="DH15" s="75" t="s">
        <v>80</v>
      </c>
      <c r="DI15" s="78" t="s">
        <v>81</v>
      </c>
      <c r="DJ15" s="70" t="str">
        <f t="shared" si="39"/>
        <v>-</v>
      </c>
      <c r="DK15" s="46">
        <f t="shared" si="28"/>
        <v>51</v>
      </c>
      <c r="DL15" s="92"/>
      <c r="DM15" s="92"/>
      <c r="DN15" s="92"/>
      <c r="DO15" s="92"/>
      <c r="DP15" s="92"/>
      <c r="DQ15" s="99"/>
      <c r="DR15" s="99"/>
      <c r="DS15" s="102">
        <v>9.0</v>
      </c>
      <c r="DT15" s="102">
        <v>9.0</v>
      </c>
      <c r="DU15" s="102">
        <v>9.0</v>
      </c>
      <c r="DV15" s="102">
        <v>9.0</v>
      </c>
      <c r="DW15" s="102">
        <v>6.0</v>
      </c>
      <c r="DX15" s="103"/>
      <c r="DY15" s="103"/>
      <c r="DZ15" s="102">
        <v>9.0</v>
      </c>
      <c r="EA15" s="94"/>
      <c r="EB15" s="88"/>
      <c r="EC15" s="46" t="str">
        <f t="array" ref="EC15">IFERROR(INDEX('Resument Total - Ofertas Proyec'!$B:$B,MATCH(EF15,'Resument Total - Ofertas Proyec'!$D:$D,0)),"")</f>
        <v/>
      </c>
      <c r="ED15" s="46" t="str">
        <f t="array" ref="ED15">IFERROR(INDEX('Imputación TR - Proyecto-Quince'!$B:$B,MATCH(EF15,'Imputación TR - Proyecto-Quince'!$C:$C,0)),"")</f>
        <v/>
      </c>
      <c r="EE15" s="68"/>
      <c r="EF15" s="46"/>
      <c r="EG15" s="46" t="str">
        <f t="shared" si="35"/>
        <v/>
      </c>
      <c r="EH15" s="46" t="s">
        <v>82</v>
      </c>
      <c r="EI15" s="72"/>
      <c r="EJ15" s="70" t="str">
        <f t="shared" si="29"/>
        <v>-</v>
      </c>
      <c r="EK15" s="46">
        <f t="shared" si="30"/>
        <v>0</v>
      </c>
      <c r="EL15" s="92"/>
      <c r="EM15" s="92"/>
      <c r="EN15" s="92"/>
      <c r="EO15" s="92"/>
      <c r="EP15" s="99"/>
      <c r="EQ15" s="99"/>
      <c r="ER15" s="101"/>
      <c r="ES15" s="101"/>
      <c r="ET15" s="101"/>
      <c r="EU15" s="101"/>
      <c r="EV15" s="101"/>
      <c r="EW15" s="103"/>
      <c r="EX15" s="103"/>
      <c r="EY15" s="101"/>
      <c r="EZ15" s="101"/>
    </row>
    <row r="16" ht="18.0" customHeight="1">
      <c r="A16" s="107"/>
      <c r="B16" s="109" t="str">
        <f t="array" ref="B16">IFERROR(INDEX('Imputación TR - Proyecto-Quince'!$A:$A,MATCH(E16,'Imputación TR - Proyecto-Quince'!$C:$C,0)),"")</f>
        <v/>
      </c>
      <c r="C16" s="109" t="str">
        <f t="array" ref="C16">IFERROR(INDEX('Imputación TR - Proyecto-Quince'!$B:$B,MATCH(E16,'Imputación TR - Proyecto-Quince'!$C:$C,0)),"")</f>
        <v/>
      </c>
      <c r="D16" s="109"/>
      <c r="E16" s="119"/>
      <c r="F16" s="119" t="str">
        <f t="shared" si="40"/>
        <v/>
      </c>
      <c r="G16" s="109" t="s">
        <v>82</v>
      </c>
      <c r="H16" s="109"/>
      <c r="I16" s="113" t="str">
        <f t="shared" si="41"/>
        <v>-</v>
      </c>
      <c r="J16" s="109">
        <f t="shared" si="17"/>
        <v>0</v>
      </c>
      <c r="K16" s="116"/>
      <c r="L16" s="114"/>
      <c r="M16" s="114"/>
      <c r="N16" s="115"/>
      <c r="O16" s="115"/>
      <c r="P16" s="116"/>
      <c r="Q16" s="116"/>
      <c r="R16" s="116"/>
      <c r="S16" s="116"/>
      <c r="T16" s="116"/>
      <c r="U16" s="115"/>
      <c r="V16" s="115"/>
      <c r="W16" s="116"/>
      <c r="X16" s="116"/>
      <c r="Y16" s="117"/>
      <c r="Z16" s="94"/>
      <c r="AA16" s="107"/>
      <c r="AB16" s="119" t="str">
        <f t="array" ref="AB16">IFERROR(INDEX('Resument Total - Ofertas Proyec'!$B:$B,MATCH(AE16,'Resument Total - Ofertas Proyec'!$D:$D,0)),"")</f>
        <v/>
      </c>
      <c r="AC16" s="119" t="str">
        <f t="array" ref="AC16">IFERROR(INDEX('Imputación TR - Proyecto-Quince'!$B:$B,MATCH(AE16,'Imputación TR - Proyecto-Quince'!$C:$C,0)),"")</f>
        <v/>
      </c>
      <c r="AD16" s="119"/>
      <c r="AE16" s="119"/>
      <c r="AF16" s="119" t="str">
        <f t="shared" si="18"/>
        <v/>
      </c>
      <c r="AG16" s="109" t="s">
        <v>82</v>
      </c>
      <c r="AH16" s="109"/>
      <c r="AI16" s="113" t="str">
        <f t="shared" si="19"/>
        <v>-</v>
      </c>
      <c r="AJ16" s="109">
        <f t="shared" si="20"/>
        <v>0</v>
      </c>
      <c r="AK16" s="120"/>
      <c r="AL16" s="120"/>
      <c r="AM16" s="121"/>
      <c r="AN16" s="121"/>
      <c r="AO16" s="120"/>
      <c r="AP16" s="120"/>
      <c r="AQ16" s="120"/>
      <c r="AR16" s="120"/>
      <c r="AS16" s="120"/>
      <c r="AT16" s="121"/>
      <c r="AU16" s="121"/>
      <c r="AV16" s="120"/>
      <c r="AW16" s="120"/>
      <c r="AX16" s="120"/>
      <c r="AY16" s="142"/>
      <c r="AZ16" s="94"/>
      <c r="BA16" s="107"/>
      <c r="BB16" s="119" t="str">
        <f t="array" ref="BB16">IFERROR(INDEX('Resument Total - Ofertas Proyec'!$B:$B,MATCH(BE16,'Resument Total - Ofertas Proyec'!$D:$D,0)),"")</f>
        <v/>
      </c>
      <c r="BC16" s="119" t="str">
        <f t="array" ref="BC16">IFERROR(INDEX('Imputación TR - Proyecto-Quince'!$B:$B,MATCH(BE16,'Imputación TR - Proyecto-Quince'!$C:$C,0)),"")</f>
        <v/>
      </c>
      <c r="BD16" s="119"/>
      <c r="BE16" s="119"/>
      <c r="BF16" s="119" t="str">
        <f t="shared" si="21"/>
        <v/>
      </c>
      <c r="BG16" s="109" t="s">
        <v>82</v>
      </c>
      <c r="BH16" s="109"/>
      <c r="BI16" s="113" t="str">
        <f t="shared" si="22"/>
        <v>-</v>
      </c>
      <c r="BJ16" s="109">
        <f t="shared" si="7"/>
        <v>0</v>
      </c>
      <c r="BK16" s="123"/>
      <c r="BL16" s="123"/>
      <c r="BM16" s="123"/>
      <c r="BN16" s="116"/>
      <c r="BO16" s="116"/>
      <c r="BP16" s="116"/>
      <c r="BQ16" s="116"/>
      <c r="BR16" s="116"/>
      <c r="BS16" s="123"/>
      <c r="BT16" s="123"/>
      <c r="BU16" s="116"/>
      <c r="BV16" s="116"/>
      <c r="BW16" s="116"/>
      <c r="BX16" s="116"/>
      <c r="BY16" s="116"/>
      <c r="BZ16" s="94"/>
      <c r="CA16" s="107"/>
      <c r="CB16" s="119" t="str">
        <f t="array" ref="CB16">IFERROR(INDEX('Resument Total - Ofertas Proyec'!$B:$B,MATCH(CE16,'Resument Total - Ofertas Proyec'!$D:$D,0)),"")</f>
        <v/>
      </c>
      <c r="CC16" s="119" t="str">
        <f t="array" ref="CC16">IFERROR(INDEX('Imputación TR - Proyecto-Quince'!$B:$B,MATCH(CE16,'Imputación TR - Proyecto-Quince'!$C:$C,0)),"")</f>
        <v/>
      </c>
      <c r="CD16" s="119"/>
      <c r="CE16" s="119"/>
      <c r="CF16" s="119" t="str">
        <f t="shared" si="23"/>
        <v/>
      </c>
      <c r="CG16" s="109" t="s">
        <v>82</v>
      </c>
      <c r="CH16" s="109"/>
      <c r="CI16" s="113" t="str">
        <f t="shared" si="24"/>
        <v>-</v>
      </c>
      <c r="CJ16" s="109">
        <f t="shared" si="25"/>
        <v>0</v>
      </c>
      <c r="CK16" s="123"/>
      <c r="CL16" s="123"/>
      <c r="CM16" s="116"/>
      <c r="CN16" s="116"/>
      <c r="CO16" s="116"/>
      <c r="CP16" s="116"/>
      <c r="CQ16" s="116"/>
      <c r="CR16" s="123"/>
      <c r="CS16" s="123"/>
      <c r="CT16" s="116"/>
      <c r="CU16" s="116"/>
      <c r="CV16" s="116"/>
      <c r="CW16" s="116"/>
      <c r="CX16" s="116"/>
      <c r="CY16" s="123"/>
      <c r="CZ16" s="124"/>
      <c r="DA16" s="94"/>
      <c r="DB16" s="107"/>
      <c r="DC16" s="119" t="str">
        <f t="array" ref="DC16">IFERROR(INDEX('Resument Total - Ofertas Proyec'!$B:$B,MATCH(DF16,'Resument Total - Ofertas Proyec'!$D:$D,0)),"")</f>
        <v/>
      </c>
      <c r="DD16" s="119" t="str">
        <f t="array" ref="DD16">IFERROR(INDEX('Imputación TR - Proyecto-Quince'!$B:$B,MATCH(DF16,'Imputación TR - Proyecto-Quince'!$C:$C,0)),"")</f>
        <v/>
      </c>
      <c r="DE16" s="119"/>
      <c r="DF16" s="119"/>
      <c r="DG16" s="119" t="str">
        <f t="shared" si="38"/>
        <v/>
      </c>
      <c r="DH16" s="109" t="s">
        <v>82</v>
      </c>
      <c r="DI16" s="109"/>
      <c r="DJ16" s="113" t="str">
        <f t="shared" si="39"/>
        <v>-</v>
      </c>
      <c r="DK16" s="109">
        <f t="shared" si="28"/>
        <v>0</v>
      </c>
      <c r="DL16" s="116"/>
      <c r="DM16" s="116"/>
      <c r="DN16" s="116"/>
      <c r="DO16" s="116"/>
      <c r="DP16" s="116"/>
      <c r="DQ16" s="123"/>
      <c r="DR16" s="123"/>
      <c r="DS16" s="125"/>
      <c r="DT16" s="125"/>
      <c r="DU16" s="125"/>
      <c r="DV16" s="125"/>
      <c r="DW16" s="125"/>
      <c r="DX16" s="126"/>
      <c r="DY16" s="126"/>
      <c r="DZ16" s="125"/>
      <c r="EA16" s="94"/>
      <c r="EB16" s="107"/>
      <c r="EC16" s="119" t="str">
        <f t="array" ref="EC16">IFERROR(INDEX('Resument Total - Ofertas Proyec'!$B:$B,MATCH(EF16,'Resument Total - Ofertas Proyec'!$D:$D,0)),"")</f>
        <v/>
      </c>
      <c r="ED16" s="119" t="str">
        <f t="array" ref="ED16">IFERROR(INDEX('Imputación TR - Proyecto-Quince'!$B:$B,MATCH(EF16,'Imputación TR - Proyecto-Quince'!$C:$C,0)),"")</f>
        <v/>
      </c>
      <c r="EE16" s="119"/>
      <c r="EF16" s="119"/>
      <c r="EG16" s="119" t="str">
        <f t="shared" si="35"/>
        <v/>
      </c>
      <c r="EH16" s="109" t="s">
        <v>82</v>
      </c>
      <c r="EI16" s="109"/>
      <c r="EJ16" s="113" t="str">
        <f t="shared" si="29"/>
        <v>-</v>
      </c>
      <c r="EK16" s="109">
        <f t="shared" si="30"/>
        <v>0</v>
      </c>
      <c r="EL16" s="116"/>
      <c r="EM16" s="116"/>
      <c r="EN16" s="116"/>
      <c r="EO16" s="116"/>
      <c r="EP16" s="123"/>
      <c r="EQ16" s="123"/>
      <c r="ER16" s="125"/>
      <c r="ES16" s="125"/>
      <c r="ET16" s="125"/>
      <c r="EU16" s="125"/>
      <c r="EV16" s="125"/>
      <c r="EW16" s="126"/>
      <c r="EX16" s="126"/>
      <c r="EY16" s="125"/>
      <c r="EZ16" s="125"/>
    </row>
    <row r="17" ht="18.0" customHeight="1">
      <c r="A17" s="185" t="s">
        <v>91</v>
      </c>
      <c r="B17" s="56" t="str">
        <f t="array" ref="B17">IFERROR(INDEX('Imputación TR - Proyecto-Quince'!$A:$A,MATCH(E17,'Imputación TR - Proyecto-Quince'!$C:$C,0)),"")</f>
        <v/>
      </c>
      <c r="C17" s="56"/>
      <c r="D17" s="57" t="s">
        <v>64</v>
      </c>
      <c r="E17" s="58"/>
      <c r="F17" s="58"/>
      <c r="G17" s="57" t="s">
        <v>80</v>
      </c>
      <c r="H17" s="59" t="s">
        <v>81</v>
      </c>
      <c r="I17" s="60" t="s">
        <v>82</v>
      </c>
      <c r="J17" s="57">
        <f t="shared" si="17"/>
        <v>60</v>
      </c>
      <c r="K17" s="61">
        <v>9.0</v>
      </c>
      <c r="L17" s="62">
        <v>9.0</v>
      </c>
      <c r="M17" s="62"/>
      <c r="N17" s="63"/>
      <c r="O17" s="63"/>
      <c r="P17" s="64">
        <v>9.0</v>
      </c>
      <c r="Q17" s="64">
        <v>9.0</v>
      </c>
      <c r="R17" s="64">
        <v>9.0</v>
      </c>
      <c r="S17" s="64">
        <v>9.0</v>
      </c>
      <c r="T17" s="64">
        <v>6.0</v>
      </c>
      <c r="U17" s="63"/>
      <c r="V17" s="63"/>
      <c r="W17" s="64"/>
      <c r="X17" s="64"/>
      <c r="Y17" s="65"/>
      <c r="Z17" s="66"/>
      <c r="AA17" s="185" t="s">
        <v>91</v>
      </c>
      <c r="AB17" s="67" t="str">
        <f t="array" ref="AB17">IFERROR(INDEX('Resument Total - Ofertas Proyec'!$B:$B,MATCH(AE17,'Resument Total - Ofertas Proyec'!$D:$D,0)),"")</f>
        <v>SDATOOL-51827</v>
      </c>
      <c r="AC17" s="67" t="str">
        <f t="array" ref="AC17">IFERROR(INDEX('Imputación TR - Proyecto-Quince'!$B:$B,MATCH(AE17,'Imputación TR - Proyecto-Quince'!$C:$C,0)),"")</f>
        <v>Eventos Corporativos</v>
      </c>
      <c r="AD17" s="58"/>
      <c r="AE17" s="24" t="s">
        <v>51</v>
      </c>
      <c r="AF17" s="57" t="str">
        <f t="shared" si="18"/>
        <v/>
      </c>
      <c r="AG17" s="69" t="s">
        <v>83</v>
      </c>
      <c r="AH17" s="64" t="s">
        <v>81</v>
      </c>
      <c r="AI17" s="60" t="str">
        <f t="shared" si="19"/>
        <v>-</v>
      </c>
      <c r="AJ17" s="57">
        <f t="shared" si="20"/>
        <v>110</v>
      </c>
      <c r="AK17" s="64">
        <v>10.0</v>
      </c>
      <c r="AL17" s="64">
        <v>10.0</v>
      </c>
      <c r="AM17" s="80"/>
      <c r="AN17" s="80"/>
      <c r="AO17" s="64">
        <v>10.0</v>
      </c>
      <c r="AP17" s="64">
        <v>10.0</v>
      </c>
      <c r="AQ17" s="64">
        <v>10.0</v>
      </c>
      <c r="AR17" s="64">
        <v>10.0</v>
      </c>
      <c r="AS17" s="64">
        <v>10.0</v>
      </c>
      <c r="AT17" s="80"/>
      <c r="AU17" s="80"/>
      <c r="AV17" s="64">
        <v>10.0</v>
      </c>
      <c r="AW17" s="64">
        <v>10.0</v>
      </c>
      <c r="AX17" s="64">
        <v>10.0</v>
      </c>
      <c r="AY17" s="64">
        <v>10.0</v>
      </c>
      <c r="AZ17" s="66"/>
      <c r="BA17" s="185" t="s">
        <v>91</v>
      </c>
      <c r="BB17" s="67" t="str">
        <f t="array" ref="BB17">IFERROR(INDEX('Resument Total - Ofertas Proyec'!$B:$B,MATCH(BE17,'Resument Total - Ofertas Proyec'!$D:$D,0)),"")</f>
        <v>SDATOOL-42226</v>
      </c>
      <c r="BC17" s="67" t="str">
        <f t="array" ref="BC17">IFERROR(INDEX('Imputación TR - Proyecto-Quince'!$B:$B,MATCH(BE17,'Imputación TR - Proyecto-Quince'!$C:$C,0)),"")</f>
        <v>Strategic Boost Alta y Mantenimiento de Emisiones y Emisores.</v>
      </c>
      <c r="BD17" s="58"/>
      <c r="BE17" s="24" t="s">
        <v>41</v>
      </c>
      <c r="BF17" s="57" t="str">
        <f t="shared" si="21"/>
        <v>GoldenSource</v>
      </c>
      <c r="BG17" s="69" t="s">
        <v>83</v>
      </c>
      <c r="BH17" s="64" t="s">
        <v>84</v>
      </c>
      <c r="BI17" s="60" t="str">
        <f t="shared" si="22"/>
        <v>Otras Tecnologías</v>
      </c>
      <c r="BJ17" s="57">
        <f t="shared" si="7"/>
        <v>100</v>
      </c>
      <c r="BK17" s="80"/>
      <c r="BL17" s="80"/>
      <c r="BM17" s="80"/>
      <c r="BN17" s="64">
        <v>10.0</v>
      </c>
      <c r="BO17" s="64">
        <v>10.0</v>
      </c>
      <c r="BP17" s="64">
        <v>10.0</v>
      </c>
      <c r="BQ17" s="64">
        <v>10.0</v>
      </c>
      <c r="BR17" s="64">
        <v>10.0</v>
      </c>
      <c r="BS17" s="80"/>
      <c r="BT17" s="80"/>
      <c r="BU17" s="64">
        <v>10.0</v>
      </c>
      <c r="BV17" s="64">
        <v>10.0</v>
      </c>
      <c r="BW17" s="64">
        <v>10.0</v>
      </c>
      <c r="BX17" s="64">
        <v>10.0</v>
      </c>
      <c r="BY17" s="64">
        <v>10.0</v>
      </c>
      <c r="BZ17" s="66"/>
      <c r="CA17" s="185" t="s">
        <v>91</v>
      </c>
      <c r="CB17" s="67" t="str">
        <f t="array" ref="CB17">IFERROR(INDEX('Resument Total - Ofertas Proyec'!$B:$B,MATCH(CE17,'Resument Total - Ofertas Proyec'!$D:$D,0)),"")</f>
        <v>SDATOOL-51827</v>
      </c>
      <c r="CC17" s="67" t="str">
        <f t="array" ref="CC17">IFERROR(INDEX('Imputación TR - Proyecto-Quince'!$B:$B,MATCH(CE17,'Imputación TR - Proyecto-Quince'!$C:$C,0)),"")</f>
        <v>Eventos Corporativos</v>
      </c>
      <c r="CD17" s="58"/>
      <c r="CE17" s="24" t="s">
        <v>51</v>
      </c>
      <c r="CF17" s="57" t="str">
        <f t="shared" si="23"/>
        <v>GoldenSource</v>
      </c>
      <c r="CG17" s="69" t="s">
        <v>83</v>
      </c>
      <c r="CH17" s="64" t="s">
        <v>84</v>
      </c>
      <c r="CI17" s="60" t="str">
        <f t="shared" si="24"/>
        <v>Otras Tecnologías</v>
      </c>
      <c r="CJ17" s="57">
        <f t="shared" si="25"/>
        <v>150</v>
      </c>
      <c r="CK17" s="80"/>
      <c r="CL17" s="80"/>
      <c r="CM17" s="64">
        <v>15.0</v>
      </c>
      <c r="CN17" s="64">
        <v>15.0</v>
      </c>
      <c r="CO17" s="64">
        <v>15.0</v>
      </c>
      <c r="CP17" s="64">
        <v>15.0</v>
      </c>
      <c r="CQ17" s="64">
        <v>15.0</v>
      </c>
      <c r="CR17" s="80"/>
      <c r="CS17" s="80"/>
      <c r="CT17" s="64">
        <v>15.0</v>
      </c>
      <c r="CU17" s="64">
        <v>15.0</v>
      </c>
      <c r="CV17" s="64">
        <v>15.0</v>
      </c>
      <c r="CW17" s="64">
        <v>15.0</v>
      </c>
      <c r="CX17" s="64">
        <v>15.0</v>
      </c>
      <c r="CY17" s="80"/>
      <c r="CZ17" s="81"/>
      <c r="DA17" s="66"/>
      <c r="DB17" s="185" t="s">
        <v>91</v>
      </c>
      <c r="DC17" s="67" t="str">
        <f t="array" ref="DC17">IFERROR(INDEX('Resument Total - Ofertas Proyec'!$B:$B,MATCH(DF17,'Resument Total - Ofertas Proyec'!$D:$D,0)),"")</f>
        <v>SDATOOL-51827</v>
      </c>
      <c r="DD17" s="67" t="str">
        <f t="array" ref="DD17">IFERROR(INDEX('Imputación TR - Proyecto-Quince'!$B:$B,MATCH(DF17,'Imputación TR - Proyecto-Quince'!$C:$C,0)),"")</f>
        <v>Eventos Corporativos</v>
      </c>
      <c r="DE17" s="58"/>
      <c r="DF17" s="24" t="s">
        <v>51</v>
      </c>
      <c r="DG17" s="57" t="str">
        <f t="shared" si="38"/>
        <v>GoldenSource</v>
      </c>
      <c r="DH17" s="69" t="s">
        <v>83</v>
      </c>
      <c r="DI17" s="64" t="s">
        <v>86</v>
      </c>
      <c r="DJ17" s="60" t="str">
        <f t="shared" si="39"/>
        <v>Otras Tecnologías</v>
      </c>
      <c r="DK17" s="57">
        <f t="shared" si="28"/>
        <v>70</v>
      </c>
      <c r="DL17" s="64">
        <v>15.0</v>
      </c>
      <c r="DM17" s="64">
        <v>15.0</v>
      </c>
      <c r="DN17" s="64">
        <v>15.0</v>
      </c>
      <c r="DO17" s="64">
        <v>15.0</v>
      </c>
      <c r="DP17" s="64">
        <v>10.0</v>
      </c>
      <c r="DQ17" s="80"/>
      <c r="DR17" s="80"/>
      <c r="DS17" s="87"/>
      <c r="DT17" s="87"/>
      <c r="DU17" s="87"/>
      <c r="DV17" s="87"/>
      <c r="DW17" s="87"/>
      <c r="DX17" s="82"/>
      <c r="DY17" s="82"/>
      <c r="DZ17" s="87"/>
      <c r="EA17" s="66"/>
      <c r="EB17" s="185" t="s">
        <v>91</v>
      </c>
      <c r="EC17" s="67" t="str">
        <f t="array" ref="EC17">IFERROR(INDEX('Resument Total - Ofertas Proyec'!$B:$B,MATCH(EF17,'Resument Total - Ofertas Proyec'!$D:$D,0)),"")</f>
        <v/>
      </c>
      <c r="ED17" s="67" t="str">
        <f t="array" ref="ED17">IFERROR(INDEX('Imputación TR - Proyecto-Quince'!$B:$B,MATCH(EF17,'Imputación TR - Proyecto-Quince'!$C:$C,0)),"")</f>
        <v/>
      </c>
      <c r="EE17" s="61" t="s">
        <v>64</v>
      </c>
      <c r="EF17" s="184"/>
      <c r="EG17" s="184" t="str">
        <f t="shared" si="35"/>
        <v/>
      </c>
      <c r="EH17" s="144" t="s">
        <v>80</v>
      </c>
      <c r="EI17" s="64" t="s">
        <v>81</v>
      </c>
      <c r="EJ17" s="70" t="str">
        <f t="shared" si="29"/>
        <v>-</v>
      </c>
      <c r="EK17" s="57">
        <f t="shared" si="30"/>
        <v>93</v>
      </c>
      <c r="EL17" s="64">
        <v>9.0</v>
      </c>
      <c r="EM17" s="64">
        <v>9.0</v>
      </c>
      <c r="EN17" s="64">
        <v>9.0</v>
      </c>
      <c r="EO17" s="64">
        <v>6.0</v>
      </c>
      <c r="EP17" s="80"/>
      <c r="EQ17" s="80"/>
      <c r="ER17" s="83">
        <v>9.0</v>
      </c>
      <c r="ES17" s="83">
        <v>9.0</v>
      </c>
      <c r="ET17" s="83">
        <v>9.0</v>
      </c>
      <c r="EU17" s="83">
        <v>9.0</v>
      </c>
      <c r="EV17" s="83">
        <v>6.0</v>
      </c>
      <c r="EW17" s="82"/>
      <c r="EX17" s="82"/>
      <c r="EY17" s="83">
        <v>9.0</v>
      </c>
      <c r="EZ17" s="83">
        <v>9.0</v>
      </c>
    </row>
    <row r="18" ht="18.0" customHeight="1">
      <c r="A18" s="88"/>
      <c r="B18" s="46" t="str">
        <f t="array" ref="B18">IFERROR(INDEX('Imputación TR - Proyecto-Quince'!$A:$A,MATCH(E18,'Imputación TR - Proyecto-Quince'!$C:$C,0)),"")</f>
        <v>SDATOOL-51827</v>
      </c>
      <c r="C18" s="46" t="str">
        <f t="array" ref="C18">IFERROR(INDEX('Imputación TR - Proyecto-Quince'!$B:$B,MATCH(E18,'Imputación TR - Proyecto-Quince'!$C:$C,0)),"")</f>
        <v>Eventos Corporativos</v>
      </c>
      <c r="D18" s="72"/>
      <c r="E18" s="76" t="s">
        <v>51</v>
      </c>
      <c r="F18" s="46" t="str">
        <f t="shared" ref="F18:F19" si="42">IF(I18="Otras Tecnologías","GoldenSource","")</f>
        <v/>
      </c>
      <c r="G18" s="76" t="s">
        <v>83</v>
      </c>
      <c r="H18" s="71" t="s">
        <v>81</v>
      </c>
      <c r="I18" s="70" t="str">
        <f t="shared" ref="I18:I19" si="43">IF(OR(H18="Codificación",H18="Pruebas"),"Otras Tecnologías","-")</f>
        <v>-</v>
      </c>
      <c r="J18" s="46">
        <f t="shared" si="17"/>
        <v>45</v>
      </c>
      <c r="K18" s="92"/>
      <c r="L18" s="90"/>
      <c r="M18" s="90"/>
      <c r="N18" s="91"/>
      <c r="O18" s="91"/>
      <c r="P18" s="92"/>
      <c r="Q18" s="92"/>
      <c r="R18" s="92"/>
      <c r="S18" s="92"/>
      <c r="T18" s="92"/>
      <c r="U18" s="91"/>
      <c r="V18" s="91"/>
      <c r="W18" s="89">
        <v>15.0</v>
      </c>
      <c r="X18" s="89">
        <v>15.0</v>
      </c>
      <c r="Y18" s="186">
        <v>15.0</v>
      </c>
      <c r="Z18" s="94"/>
      <c r="AA18" s="88"/>
      <c r="AB18" s="46" t="str">
        <f t="array" ref="AB18">IFERROR(INDEX('Resument Total - Ofertas Proyec'!$B:$B,MATCH(AE18,'Resument Total - Ofertas Proyec'!$D:$D,0)),"")</f>
        <v/>
      </c>
      <c r="AC18" s="46" t="str">
        <f t="array" ref="AC18">IFERROR(INDEX('Imputación TR - Proyecto-Quince'!$B:$B,MATCH(AE18,'Imputación TR - Proyecto-Quince'!$C:$C,0)),"")</f>
        <v/>
      </c>
      <c r="AD18" s="68"/>
      <c r="AE18" s="46"/>
      <c r="AF18" s="46" t="str">
        <f t="shared" si="18"/>
        <v/>
      </c>
      <c r="AG18" s="46" t="s">
        <v>82</v>
      </c>
      <c r="AH18" s="72"/>
      <c r="AI18" s="70" t="str">
        <f t="shared" si="19"/>
        <v>-</v>
      </c>
      <c r="AJ18" s="46">
        <f t="shared" si="20"/>
        <v>0</v>
      </c>
      <c r="AK18" s="98"/>
      <c r="AL18" s="98"/>
      <c r="AM18" s="97"/>
      <c r="AN18" s="97"/>
      <c r="AO18" s="98"/>
      <c r="AP18" s="98"/>
      <c r="AQ18" s="98"/>
      <c r="AR18" s="98"/>
      <c r="AS18" s="98"/>
      <c r="AT18" s="97"/>
      <c r="AU18" s="97"/>
      <c r="AV18" s="98"/>
      <c r="AW18" s="98"/>
      <c r="AX18" s="98"/>
      <c r="AY18" s="137"/>
      <c r="AZ18" s="94"/>
      <c r="BA18" s="88"/>
      <c r="BB18" s="46" t="str">
        <f t="array" ref="BB18">IFERROR(INDEX('Resument Total - Ofertas Proyec'!$B:$B,MATCH(BE18,'Resument Total - Ofertas Proyec'!$D:$D,0)),"")</f>
        <v>SDATOOL-51827</v>
      </c>
      <c r="BC18" s="46" t="str">
        <f t="array" ref="BC18">IFERROR(INDEX('Imputación TR - Proyecto-Quince'!$B:$B,MATCH(BE18,'Imputación TR - Proyecto-Quince'!$C:$C,0)),"")</f>
        <v>Eventos Corporativos</v>
      </c>
      <c r="BD18" s="68"/>
      <c r="BE18" s="76" t="s">
        <v>51</v>
      </c>
      <c r="BF18" s="46" t="str">
        <f t="shared" si="21"/>
        <v>GoldenSource</v>
      </c>
      <c r="BG18" s="77" t="s">
        <v>83</v>
      </c>
      <c r="BH18" s="71" t="s">
        <v>84</v>
      </c>
      <c r="BI18" s="70" t="str">
        <f t="shared" si="22"/>
        <v>Otras Tecnologías</v>
      </c>
      <c r="BJ18" s="46">
        <f t="shared" si="7"/>
        <v>50</v>
      </c>
      <c r="BK18" s="99"/>
      <c r="BL18" s="99"/>
      <c r="BM18" s="99"/>
      <c r="BN18" s="89">
        <v>5.0</v>
      </c>
      <c r="BO18" s="89">
        <v>5.0</v>
      </c>
      <c r="BP18" s="89">
        <v>5.0</v>
      </c>
      <c r="BQ18" s="89">
        <v>5.0</v>
      </c>
      <c r="BR18" s="89">
        <v>5.0</v>
      </c>
      <c r="BS18" s="99"/>
      <c r="BT18" s="99"/>
      <c r="BU18" s="89">
        <v>5.0</v>
      </c>
      <c r="BV18" s="89">
        <v>5.0</v>
      </c>
      <c r="BW18" s="89">
        <v>5.0</v>
      </c>
      <c r="BX18" s="89">
        <v>5.0</v>
      </c>
      <c r="BY18" s="89">
        <v>5.0</v>
      </c>
      <c r="BZ18" s="94"/>
      <c r="CA18" s="88"/>
      <c r="CB18" s="46" t="str">
        <f t="array" ref="CB18">IFERROR(INDEX('Resument Total - Ofertas Proyec'!$B:$B,MATCH(CE18,'Resument Total - Ofertas Proyec'!$D:$D,0)),"")</f>
        <v/>
      </c>
      <c r="CC18" s="46" t="str">
        <f t="array" ref="CC18">IFERROR(INDEX('Imputación TR - Proyecto-Quince'!$B:$B,MATCH(CE18,'Imputación TR - Proyecto-Quince'!$C:$C,0)),"")</f>
        <v/>
      </c>
      <c r="CD18" s="68"/>
      <c r="CE18" s="46"/>
      <c r="CF18" s="46" t="str">
        <f t="shared" si="23"/>
        <v/>
      </c>
      <c r="CG18" s="46" t="s">
        <v>82</v>
      </c>
      <c r="CH18" s="72"/>
      <c r="CI18" s="70" t="str">
        <f t="shared" si="24"/>
        <v>-</v>
      </c>
      <c r="CJ18" s="46">
        <f t="shared" si="25"/>
        <v>0</v>
      </c>
      <c r="CK18" s="99"/>
      <c r="CL18" s="99"/>
      <c r="CM18" s="92"/>
      <c r="CN18" s="92"/>
      <c r="CO18" s="92"/>
      <c r="CP18" s="92"/>
      <c r="CQ18" s="92"/>
      <c r="CR18" s="99"/>
      <c r="CS18" s="99"/>
      <c r="CT18" s="92"/>
      <c r="CU18" s="92"/>
      <c r="CV18" s="92"/>
      <c r="CW18" s="92"/>
      <c r="CX18" s="92"/>
      <c r="CY18" s="99"/>
      <c r="CZ18" s="100"/>
      <c r="DA18" s="94"/>
      <c r="DB18" s="88"/>
      <c r="DC18" s="46" t="str">
        <f t="array" ref="DC18">IFERROR(INDEX('Resument Total - Ofertas Proyec'!$B:$B,MATCH(DF18,'Resument Total - Ofertas Proyec'!$D:$D,0)),"")</f>
        <v/>
      </c>
      <c r="DD18" s="46" t="str">
        <f t="array" ref="DD18">IFERROR(INDEX('Imputación TR - Proyecto-Quince'!$B:$B,MATCH(DF18,'Imputación TR - Proyecto-Quince'!$C:$C,0)),"")</f>
        <v/>
      </c>
      <c r="DE18" s="46" t="s">
        <v>64</v>
      </c>
      <c r="DF18" s="68"/>
      <c r="DG18" s="68" t="str">
        <f t="shared" si="38"/>
        <v/>
      </c>
      <c r="DH18" s="75" t="s">
        <v>80</v>
      </c>
      <c r="DI18" s="78" t="s">
        <v>81</v>
      </c>
      <c r="DJ18" s="70" t="str">
        <f t="shared" si="39"/>
        <v>-</v>
      </c>
      <c r="DK18" s="46">
        <f t="shared" si="28"/>
        <v>51</v>
      </c>
      <c r="DL18" s="92"/>
      <c r="DM18" s="92"/>
      <c r="DN18" s="92"/>
      <c r="DO18" s="92"/>
      <c r="DP18" s="92"/>
      <c r="DQ18" s="99"/>
      <c r="DR18" s="99"/>
      <c r="DS18" s="102">
        <v>9.0</v>
      </c>
      <c r="DT18" s="102">
        <v>9.0</v>
      </c>
      <c r="DU18" s="102">
        <v>9.0</v>
      </c>
      <c r="DV18" s="102">
        <v>9.0</v>
      </c>
      <c r="DW18" s="102">
        <v>6.0</v>
      </c>
      <c r="DX18" s="103"/>
      <c r="DY18" s="103"/>
      <c r="DZ18" s="102">
        <v>9.0</v>
      </c>
      <c r="EA18" s="94"/>
      <c r="EB18" s="88"/>
      <c r="EC18" s="46" t="str">
        <f t="array" ref="EC18">IFERROR(INDEX('Resument Total - Ofertas Proyec'!$B:$B,MATCH(EF18,'Resument Total - Ofertas Proyec'!$D:$D,0)),"")</f>
        <v/>
      </c>
      <c r="ED18" s="46" t="str">
        <f t="array" ref="ED18">IFERROR(INDEX('Imputación TR - Proyecto-Quince'!$B:$B,MATCH(EF18,'Imputación TR - Proyecto-Quince'!$C:$C,0)),"")</f>
        <v/>
      </c>
      <c r="EE18" s="68"/>
      <c r="EF18" s="46"/>
      <c r="EG18" s="46" t="str">
        <f t="shared" si="35"/>
        <v/>
      </c>
      <c r="EH18" s="46" t="s">
        <v>82</v>
      </c>
      <c r="EI18" s="72"/>
      <c r="EJ18" s="70" t="str">
        <f t="shared" si="29"/>
        <v>-</v>
      </c>
      <c r="EK18" s="46">
        <f t="shared" si="30"/>
        <v>0</v>
      </c>
      <c r="EL18" s="92"/>
      <c r="EM18" s="92"/>
      <c r="EN18" s="92"/>
      <c r="EO18" s="92"/>
      <c r="EP18" s="99"/>
      <c r="EQ18" s="99"/>
      <c r="ER18" s="101"/>
      <c r="ES18" s="101"/>
      <c r="ET18" s="101"/>
      <c r="EU18" s="101"/>
      <c r="EV18" s="101"/>
      <c r="EW18" s="103"/>
      <c r="EX18" s="103"/>
      <c r="EY18" s="101"/>
      <c r="EZ18" s="101"/>
    </row>
    <row r="19" ht="18.0" customHeight="1">
      <c r="A19" s="107"/>
      <c r="B19" s="109" t="str">
        <f t="array" ref="B19">IFERROR(INDEX('Imputación TR - Proyecto-Quince'!$A:$A,MATCH(E19,'Imputación TR - Proyecto-Quince'!$C:$C,0)),"")</f>
        <v/>
      </c>
      <c r="C19" s="109" t="str">
        <f t="array" ref="C19">IFERROR(INDEX('Imputación TR - Proyecto-Quince'!$B:$B,MATCH(E19,'Imputación TR - Proyecto-Quince'!$C:$C,0)),"")</f>
        <v/>
      </c>
      <c r="D19" s="109"/>
      <c r="E19" s="119"/>
      <c r="F19" s="119" t="str">
        <f t="shared" si="42"/>
        <v/>
      </c>
      <c r="G19" s="109" t="s">
        <v>82</v>
      </c>
      <c r="H19" s="109"/>
      <c r="I19" s="113" t="str">
        <f t="shared" si="43"/>
        <v>-</v>
      </c>
      <c r="J19" s="109">
        <f t="shared" si="17"/>
        <v>0</v>
      </c>
      <c r="K19" s="116"/>
      <c r="L19" s="114"/>
      <c r="M19" s="114"/>
      <c r="N19" s="115"/>
      <c r="O19" s="115"/>
      <c r="P19" s="116"/>
      <c r="Q19" s="116"/>
      <c r="R19" s="116"/>
      <c r="S19" s="116"/>
      <c r="T19" s="116"/>
      <c r="U19" s="115"/>
      <c r="V19" s="115"/>
      <c r="W19" s="116"/>
      <c r="X19" s="116"/>
      <c r="Y19" s="117"/>
      <c r="Z19" s="94"/>
      <c r="AA19" s="107"/>
      <c r="AB19" s="119" t="str">
        <f t="array" ref="AB19">IFERROR(INDEX('Resument Total - Ofertas Proyec'!$B:$B,MATCH(AE19,'Resument Total - Ofertas Proyec'!$D:$D,0)),"")</f>
        <v/>
      </c>
      <c r="AC19" s="119" t="str">
        <f t="array" ref="AC19">IFERROR(INDEX('Imputación TR - Proyecto-Quince'!$B:$B,MATCH(AE19,'Imputación TR - Proyecto-Quince'!$C:$C,0)),"")</f>
        <v/>
      </c>
      <c r="AD19" s="119"/>
      <c r="AE19" s="119"/>
      <c r="AF19" s="119" t="str">
        <f t="shared" si="18"/>
        <v/>
      </c>
      <c r="AG19" s="109" t="s">
        <v>82</v>
      </c>
      <c r="AH19" s="109"/>
      <c r="AI19" s="113" t="str">
        <f t="shared" si="19"/>
        <v>-</v>
      </c>
      <c r="AJ19" s="109">
        <f t="shared" si="20"/>
        <v>0</v>
      </c>
      <c r="AK19" s="120"/>
      <c r="AL19" s="120"/>
      <c r="AM19" s="121"/>
      <c r="AN19" s="121"/>
      <c r="AO19" s="120"/>
      <c r="AP19" s="120"/>
      <c r="AQ19" s="120"/>
      <c r="AR19" s="120"/>
      <c r="AS19" s="120"/>
      <c r="AT19" s="121"/>
      <c r="AU19" s="121"/>
      <c r="AV19" s="120"/>
      <c r="AW19" s="120"/>
      <c r="AX19" s="120"/>
      <c r="AY19" s="142"/>
      <c r="AZ19" s="94"/>
      <c r="BA19" s="107"/>
      <c r="BB19" s="119" t="str">
        <f t="array" ref="BB19">IFERROR(INDEX('Resument Total - Ofertas Proyec'!$B:$B,MATCH(BE19,'Resument Total - Ofertas Proyec'!$D:$D,0)),"")</f>
        <v/>
      </c>
      <c r="BC19" s="119" t="str">
        <f t="array" ref="BC19">IFERROR(INDEX('Imputación TR - Proyecto-Quince'!$B:$B,MATCH(BE19,'Imputación TR - Proyecto-Quince'!$C:$C,0)),"")</f>
        <v/>
      </c>
      <c r="BD19" s="119"/>
      <c r="BE19" s="119"/>
      <c r="BF19" s="119" t="str">
        <f t="shared" si="21"/>
        <v/>
      </c>
      <c r="BG19" s="109" t="s">
        <v>82</v>
      </c>
      <c r="BH19" s="109"/>
      <c r="BI19" s="113" t="str">
        <f t="shared" si="22"/>
        <v>-</v>
      </c>
      <c r="BJ19" s="109">
        <f t="shared" si="7"/>
        <v>0</v>
      </c>
      <c r="BK19" s="123"/>
      <c r="BL19" s="123"/>
      <c r="BM19" s="123"/>
      <c r="BN19" s="116"/>
      <c r="BO19" s="116"/>
      <c r="BP19" s="116"/>
      <c r="BQ19" s="116"/>
      <c r="BR19" s="116"/>
      <c r="BS19" s="123"/>
      <c r="BT19" s="123"/>
      <c r="BU19" s="116"/>
      <c r="BV19" s="116"/>
      <c r="BW19" s="116"/>
      <c r="BX19" s="116"/>
      <c r="BY19" s="116"/>
      <c r="BZ19" s="94"/>
      <c r="CA19" s="107"/>
      <c r="CB19" s="119" t="str">
        <f t="array" ref="CB19">IFERROR(INDEX('Resument Total - Ofertas Proyec'!$B:$B,MATCH(CE19,'Resument Total - Ofertas Proyec'!$D:$D,0)),"")</f>
        <v/>
      </c>
      <c r="CC19" s="119" t="str">
        <f t="array" ref="CC19">IFERROR(INDEX('Imputación TR - Proyecto-Quince'!$B:$B,MATCH(CE19,'Imputación TR - Proyecto-Quince'!$C:$C,0)),"")</f>
        <v/>
      </c>
      <c r="CD19" s="119"/>
      <c r="CE19" s="119"/>
      <c r="CF19" s="119" t="str">
        <f t="shared" si="23"/>
        <v/>
      </c>
      <c r="CG19" s="109" t="s">
        <v>82</v>
      </c>
      <c r="CH19" s="109"/>
      <c r="CI19" s="113" t="str">
        <f t="shared" si="24"/>
        <v>-</v>
      </c>
      <c r="CJ19" s="109">
        <f t="shared" si="25"/>
        <v>0</v>
      </c>
      <c r="CK19" s="123"/>
      <c r="CL19" s="123"/>
      <c r="CM19" s="116"/>
      <c r="CN19" s="116"/>
      <c r="CO19" s="116"/>
      <c r="CP19" s="116"/>
      <c r="CQ19" s="116"/>
      <c r="CR19" s="123"/>
      <c r="CS19" s="123"/>
      <c r="CT19" s="116"/>
      <c r="CU19" s="116"/>
      <c r="CV19" s="116"/>
      <c r="CW19" s="116"/>
      <c r="CX19" s="116"/>
      <c r="CY19" s="123"/>
      <c r="CZ19" s="124"/>
      <c r="DA19" s="94"/>
      <c r="DB19" s="107"/>
      <c r="DC19" s="119" t="str">
        <f t="array" ref="DC19">IFERROR(INDEX('Resument Total - Ofertas Proyec'!$B:$B,MATCH(DF19,'Resument Total - Ofertas Proyec'!$D:$D,0)),"")</f>
        <v/>
      </c>
      <c r="DD19" s="119" t="str">
        <f t="array" ref="DD19">IFERROR(INDEX('Imputación TR - Proyecto-Quince'!$B:$B,MATCH(DF19,'Imputación TR - Proyecto-Quince'!$C:$C,0)),"")</f>
        <v/>
      </c>
      <c r="DE19" s="119"/>
      <c r="DF19" s="119"/>
      <c r="DG19" s="119" t="str">
        <f t="shared" si="38"/>
        <v/>
      </c>
      <c r="DH19" s="109" t="s">
        <v>82</v>
      </c>
      <c r="DI19" s="109"/>
      <c r="DJ19" s="113" t="str">
        <f t="shared" si="39"/>
        <v>-</v>
      </c>
      <c r="DK19" s="109">
        <f t="shared" si="28"/>
        <v>0</v>
      </c>
      <c r="DL19" s="116"/>
      <c r="DM19" s="116"/>
      <c r="DN19" s="116"/>
      <c r="DO19" s="116"/>
      <c r="DP19" s="116"/>
      <c r="DQ19" s="123"/>
      <c r="DR19" s="123"/>
      <c r="DS19" s="125"/>
      <c r="DT19" s="125"/>
      <c r="DU19" s="125"/>
      <c r="DV19" s="125"/>
      <c r="DW19" s="125"/>
      <c r="DX19" s="126"/>
      <c r="DY19" s="126"/>
      <c r="DZ19" s="125"/>
      <c r="EA19" s="94"/>
      <c r="EB19" s="107"/>
      <c r="EC19" s="119" t="str">
        <f t="array" ref="EC19">IFERROR(INDEX('Resument Total - Ofertas Proyec'!$B:$B,MATCH(EF19,'Resument Total - Ofertas Proyec'!$D:$D,0)),"")</f>
        <v/>
      </c>
      <c r="ED19" s="119" t="str">
        <f t="array" ref="ED19">IFERROR(INDEX('Imputación TR - Proyecto-Quince'!$B:$B,MATCH(EF19,'Imputación TR - Proyecto-Quince'!$C:$C,0)),"")</f>
        <v/>
      </c>
      <c r="EE19" s="119"/>
      <c r="EF19" s="119"/>
      <c r="EG19" s="119" t="str">
        <f t="shared" si="35"/>
        <v/>
      </c>
      <c r="EH19" s="109" t="s">
        <v>82</v>
      </c>
      <c r="EI19" s="109"/>
      <c r="EJ19" s="113" t="str">
        <f t="shared" si="29"/>
        <v>-</v>
      </c>
      <c r="EK19" s="109">
        <f t="shared" si="30"/>
        <v>0</v>
      </c>
      <c r="EL19" s="116"/>
      <c r="EM19" s="116"/>
      <c r="EN19" s="116"/>
      <c r="EO19" s="116"/>
      <c r="EP19" s="123"/>
      <c r="EQ19" s="123"/>
      <c r="ER19" s="125"/>
      <c r="ES19" s="125"/>
      <c r="ET19" s="125"/>
      <c r="EU19" s="125"/>
      <c r="EV19" s="125"/>
      <c r="EW19" s="126"/>
      <c r="EX19" s="126"/>
      <c r="EY19" s="125"/>
      <c r="EZ19" s="125"/>
    </row>
    <row r="20" ht="18.0" customHeight="1">
      <c r="A20" s="55" t="s">
        <v>92</v>
      </c>
      <c r="B20" s="56" t="str">
        <f t="array" ref="B20">IFERROR(INDEX('Imputación TR - Proyecto-Quince'!$A:$A,MATCH(E20,'Imputación TR - Proyecto-Quince'!$C:$C,0)),"")</f>
        <v/>
      </c>
      <c r="C20" s="56"/>
      <c r="D20" s="57" t="s">
        <v>64</v>
      </c>
      <c r="E20" s="58"/>
      <c r="F20" s="58"/>
      <c r="G20" s="57" t="s">
        <v>80</v>
      </c>
      <c r="H20" s="59" t="s">
        <v>81</v>
      </c>
      <c r="I20" s="60" t="s">
        <v>82</v>
      </c>
      <c r="J20" s="57">
        <f t="shared" si="17"/>
        <v>60</v>
      </c>
      <c r="K20" s="61">
        <v>9.0</v>
      </c>
      <c r="L20" s="62">
        <v>9.0</v>
      </c>
      <c r="M20" s="62"/>
      <c r="N20" s="63"/>
      <c r="O20" s="63"/>
      <c r="P20" s="64">
        <v>9.0</v>
      </c>
      <c r="Q20" s="64">
        <v>9.0</v>
      </c>
      <c r="R20" s="64">
        <v>9.0</v>
      </c>
      <c r="S20" s="64">
        <v>9.0</v>
      </c>
      <c r="T20" s="64">
        <v>6.0</v>
      </c>
      <c r="U20" s="63"/>
      <c r="V20" s="63"/>
      <c r="W20" s="64"/>
      <c r="X20" s="64"/>
      <c r="Y20" s="65"/>
      <c r="Z20" s="66"/>
      <c r="AA20" s="55" t="s">
        <v>92</v>
      </c>
      <c r="AB20" s="67" t="str">
        <f t="array" ref="AB20">IFERROR(INDEX('Resument Total - Ofertas Proyec'!$B:$B,MATCH(AE20,'Resument Total - Ofertas Proyec'!$D:$D,0)),"")</f>
        <v>SDATOOL-49629</v>
      </c>
      <c r="AC20" s="67" t="str">
        <f t="array" ref="AC20">IFERROR(INDEX('Imputación TR - Proyecto-Quince'!$B:$B,MATCH(AE20,'Imputación TR - Proyecto-Quince'!$C:$C,0)),"")</f>
        <v>BSI 2.0. Cargador genérico Legal Agreements</v>
      </c>
      <c r="AD20" s="58"/>
      <c r="AE20" s="24" t="s">
        <v>24</v>
      </c>
      <c r="AF20" s="57" t="str">
        <f t="shared" si="18"/>
        <v/>
      </c>
      <c r="AG20" s="69" t="s">
        <v>83</v>
      </c>
      <c r="AH20" s="64" t="s">
        <v>81</v>
      </c>
      <c r="AI20" s="60" t="str">
        <f t="shared" si="19"/>
        <v>-</v>
      </c>
      <c r="AJ20" s="57">
        <f t="shared" si="20"/>
        <v>165</v>
      </c>
      <c r="AK20" s="64">
        <v>15.0</v>
      </c>
      <c r="AL20" s="64">
        <v>15.0</v>
      </c>
      <c r="AM20" s="80"/>
      <c r="AN20" s="80"/>
      <c r="AO20" s="64">
        <v>15.0</v>
      </c>
      <c r="AP20" s="64">
        <v>15.0</v>
      </c>
      <c r="AQ20" s="64">
        <v>15.0</v>
      </c>
      <c r="AR20" s="64">
        <v>15.0</v>
      </c>
      <c r="AS20" s="64">
        <v>15.0</v>
      </c>
      <c r="AT20" s="80"/>
      <c r="AU20" s="80"/>
      <c r="AV20" s="64">
        <v>15.0</v>
      </c>
      <c r="AW20" s="64">
        <v>15.0</v>
      </c>
      <c r="AX20" s="64">
        <v>15.0</v>
      </c>
      <c r="AY20" s="64">
        <v>15.0</v>
      </c>
      <c r="AZ20" s="66"/>
      <c r="BA20" s="55" t="s">
        <v>92</v>
      </c>
      <c r="BB20" s="67" t="str">
        <f t="array" ref="BB20">IFERROR(INDEX('Resument Total - Ofertas Proyec'!$B:$B,MATCH(BE20,'Resument Total - Ofertas Proyec'!$D:$D,0)),"")</f>
        <v>SDATOOL-49629</v>
      </c>
      <c r="BC20" s="67" t="str">
        <f t="array" ref="BC20">IFERROR(INDEX('Imputación TR - Proyecto-Quince'!$B:$B,MATCH(BE20,'Imputación TR - Proyecto-Quince'!$C:$C,0)),"")</f>
        <v>BSI 2.0. Cargador genérico Legal Agreements</v>
      </c>
      <c r="BD20" s="58"/>
      <c r="BE20" s="24" t="s">
        <v>24</v>
      </c>
      <c r="BF20" s="57" t="str">
        <f t="shared" si="21"/>
        <v>GoldenSource</v>
      </c>
      <c r="BG20" s="77" t="s">
        <v>83</v>
      </c>
      <c r="BH20" s="64" t="s">
        <v>86</v>
      </c>
      <c r="BI20" s="60" t="str">
        <f t="shared" si="22"/>
        <v>Otras Tecnologías</v>
      </c>
      <c r="BJ20" s="57">
        <f t="shared" si="7"/>
        <v>100</v>
      </c>
      <c r="BK20" s="80"/>
      <c r="BL20" s="80"/>
      <c r="BM20" s="80"/>
      <c r="BN20" s="64">
        <v>10.0</v>
      </c>
      <c r="BO20" s="64">
        <v>10.0</v>
      </c>
      <c r="BP20" s="64">
        <v>10.0</v>
      </c>
      <c r="BQ20" s="64">
        <v>10.0</v>
      </c>
      <c r="BR20" s="64">
        <v>10.0</v>
      </c>
      <c r="BS20" s="80"/>
      <c r="BT20" s="80"/>
      <c r="BU20" s="64">
        <v>10.0</v>
      </c>
      <c r="BV20" s="64">
        <v>10.0</v>
      </c>
      <c r="BW20" s="64">
        <v>10.0</v>
      </c>
      <c r="BX20" s="64">
        <v>10.0</v>
      </c>
      <c r="BY20" s="64">
        <v>10.0</v>
      </c>
      <c r="BZ20" s="66"/>
      <c r="CA20" s="55" t="s">
        <v>92</v>
      </c>
      <c r="CB20" s="67" t="str">
        <f t="array" ref="CB20">IFERROR(INDEX('Resument Total - Ofertas Proyec'!$B:$B,MATCH(CE20,'Resument Total - Ofertas Proyec'!$D:$D,0)),"")</f>
        <v>SDATOOL-49629</v>
      </c>
      <c r="CC20" s="67" t="str">
        <f t="array" ref="CC20">IFERROR(INDEX('Imputación TR - Proyecto-Quince'!$B:$B,MATCH(CE20,'Imputación TR - Proyecto-Quince'!$C:$C,0)),"")</f>
        <v>BSI 2.0. Cargador genérico Legal Agreements</v>
      </c>
      <c r="CD20" s="58"/>
      <c r="CE20" s="24" t="s">
        <v>24</v>
      </c>
      <c r="CF20" s="57" t="str">
        <f t="shared" si="23"/>
        <v>GoldenSource</v>
      </c>
      <c r="CG20" s="69" t="s">
        <v>83</v>
      </c>
      <c r="CH20" s="64" t="s">
        <v>86</v>
      </c>
      <c r="CI20" s="60" t="str">
        <f t="shared" si="24"/>
        <v>Otras Tecnologías</v>
      </c>
      <c r="CJ20" s="57">
        <f t="shared" si="25"/>
        <v>50</v>
      </c>
      <c r="CK20" s="80"/>
      <c r="CL20" s="80"/>
      <c r="CM20" s="64">
        <v>5.0</v>
      </c>
      <c r="CN20" s="64">
        <v>5.0</v>
      </c>
      <c r="CO20" s="64">
        <v>5.0</v>
      </c>
      <c r="CP20" s="64">
        <v>5.0</v>
      </c>
      <c r="CQ20" s="64">
        <v>5.0</v>
      </c>
      <c r="CR20" s="80"/>
      <c r="CS20" s="80"/>
      <c r="CT20" s="64">
        <v>5.0</v>
      </c>
      <c r="CU20" s="64">
        <v>5.0</v>
      </c>
      <c r="CV20" s="64">
        <v>5.0</v>
      </c>
      <c r="CW20" s="64">
        <v>5.0</v>
      </c>
      <c r="CX20" s="64">
        <v>5.0</v>
      </c>
      <c r="CY20" s="80"/>
      <c r="CZ20" s="81"/>
      <c r="DA20" s="66"/>
      <c r="DB20" s="55" t="s">
        <v>92</v>
      </c>
      <c r="DC20" s="67" t="str">
        <f t="array" ref="DC20">IFERROR(INDEX('Resument Total - Ofertas Proyec'!$B:$B,MATCH(DF20,'Resument Total - Ofertas Proyec'!$D:$D,0)),"")</f>
        <v>SDATOOL-49629</v>
      </c>
      <c r="DD20" s="67" t="str">
        <f t="array" ref="DD20">IFERROR(INDEX('Imputación TR - Proyecto-Quince'!$B:$B,MATCH(DF20,'Imputación TR - Proyecto-Quince'!$C:$C,0)),"")</f>
        <v>BSI 2.0. Cargador genérico Legal Agreements</v>
      </c>
      <c r="DE20" s="58"/>
      <c r="DF20" s="10" t="s">
        <v>24</v>
      </c>
      <c r="DG20" s="24"/>
      <c r="DH20" s="69" t="s">
        <v>83</v>
      </c>
      <c r="DI20" s="64" t="s">
        <v>86</v>
      </c>
      <c r="DJ20" s="60" t="str">
        <f t="shared" si="39"/>
        <v>Otras Tecnologías</v>
      </c>
      <c r="DK20" s="57">
        <f t="shared" si="28"/>
        <v>80</v>
      </c>
      <c r="DL20" s="64">
        <v>16.0</v>
      </c>
      <c r="DM20" s="64">
        <v>16.0</v>
      </c>
      <c r="DN20" s="64">
        <v>16.0</v>
      </c>
      <c r="DO20" s="64">
        <v>16.0</v>
      </c>
      <c r="DP20" s="64">
        <v>16.0</v>
      </c>
      <c r="DQ20" s="80"/>
      <c r="DR20" s="80"/>
      <c r="DS20" s="87"/>
      <c r="DT20" s="87"/>
      <c r="DU20" s="87"/>
      <c r="DV20" s="87"/>
      <c r="DW20" s="87"/>
      <c r="DX20" s="82"/>
      <c r="DY20" s="82"/>
      <c r="DZ20" s="87"/>
      <c r="EA20" s="66"/>
      <c r="EB20" s="55" t="s">
        <v>92</v>
      </c>
      <c r="EC20" s="67" t="str">
        <f t="array" ref="EC20">IFERROR(INDEX('Resument Total - Ofertas Proyec'!$B:$B,MATCH(EF20,'Resument Total - Ofertas Proyec'!$D:$D,0)),"")</f>
        <v/>
      </c>
      <c r="ED20" s="67" t="str">
        <f t="array" ref="ED20">IFERROR(INDEX('Imputación TR - Proyecto-Quince'!$B:$B,MATCH(EF20,'Imputación TR - Proyecto-Quince'!$C:$C,0)),"")</f>
        <v/>
      </c>
      <c r="EE20" s="61" t="s">
        <v>64</v>
      </c>
      <c r="EF20" s="184"/>
      <c r="EG20" s="184" t="str">
        <f t="shared" si="35"/>
        <v/>
      </c>
      <c r="EH20" s="144" t="s">
        <v>80</v>
      </c>
      <c r="EI20" s="64" t="s">
        <v>81</v>
      </c>
      <c r="EJ20" s="70" t="str">
        <f t="shared" si="29"/>
        <v>-</v>
      </c>
      <c r="EK20" s="57">
        <f t="shared" si="30"/>
        <v>93</v>
      </c>
      <c r="EL20" s="64">
        <v>9.0</v>
      </c>
      <c r="EM20" s="64">
        <v>9.0</v>
      </c>
      <c r="EN20" s="64">
        <v>9.0</v>
      </c>
      <c r="EO20" s="64">
        <v>6.0</v>
      </c>
      <c r="EP20" s="80"/>
      <c r="EQ20" s="80"/>
      <c r="ER20" s="83">
        <v>9.0</v>
      </c>
      <c r="ES20" s="83">
        <v>9.0</v>
      </c>
      <c r="ET20" s="83">
        <v>9.0</v>
      </c>
      <c r="EU20" s="83">
        <v>9.0</v>
      </c>
      <c r="EV20" s="83">
        <v>6.0</v>
      </c>
      <c r="EW20" s="82"/>
      <c r="EX20" s="82"/>
      <c r="EY20" s="83">
        <v>9.0</v>
      </c>
      <c r="EZ20" s="83">
        <v>9.0</v>
      </c>
    </row>
    <row r="21" ht="18.0" customHeight="1">
      <c r="A21" s="88"/>
      <c r="B21" s="143" t="str">
        <f t="array" ref="B21">IFERROR(INDEX('Imputación TR - Proyecto-Quince'!$A:$A,MATCH(E21,'Imputación TR - Proyecto-Quince'!$C:$C,0)),"")</f>
        <v>SDATOOL-49629</v>
      </c>
      <c r="C21" s="143" t="str">
        <f t="array" ref="C21">IFERROR(INDEX('Imputación TR - Proyecto-Quince'!$B:$B,MATCH(E21,'Imputación TR - Proyecto-Quince'!$C:$C,0)),"")</f>
        <v>BSI 2.0. Cargador genérico Legal Agreements</v>
      </c>
      <c r="D21" s="98"/>
      <c r="E21" s="24" t="s">
        <v>24</v>
      </c>
      <c r="F21" s="143" t="str">
        <f t="shared" ref="F21:F22" si="44">IF(I21="Otras Tecnologías","GoldenSource","")</f>
        <v/>
      </c>
      <c r="G21" s="76" t="s">
        <v>83</v>
      </c>
      <c r="H21" s="71" t="s">
        <v>81</v>
      </c>
      <c r="I21" s="70" t="str">
        <f t="shared" ref="I21:I22" si="45">IF(OR(H21="Codificación",H21="Pruebas"),"Otras Tecnologías","-")</f>
        <v>-</v>
      </c>
      <c r="J21" s="143">
        <f t="shared" si="17"/>
        <v>45</v>
      </c>
      <c r="K21" s="92"/>
      <c r="L21" s="90"/>
      <c r="M21" s="90"/>
      <c r="N21" s="91"/>
      <c r="O21" s="91"/>
      <c r="P21" s="92"/>
      <c r="Q21" s="92"/>
      <c r="R21" s="92"/>
      <c r="S21" s="92"/>
      <c r="T21" s="92"/>
      <c r="U21" s="91"/>
      <c r="V21" s="91"/>
      <c r="W21" s="89">
        <v>15.0</v>
      </c>
      <c r="X21" s="89">
        <v>15.0</v>
      </c>
      <c r="Y21" s="89">
        <v>15.0</v>
      </c>
      <c r="Z21" s="94"/>
      <c r="AA21" s="88"/>
      <c r="AB21" s="143" t="str">
        <f t="array" ref="AB21">IFERROR(INDEX('Resument Total - Ofertas Proyec'!$B:$B,MATCH(AE21,'Resument Total - Ofertas Proyec'!$D:$D,0)),"")</f>
        <v/>
      </c>
      <c r="AC21" s="143" t="str">
        <f t="array" ref="AC21">IFERROR(INDEX('Imputación TR - Proyecto-Quince'!$B:$B,MATCH(AE21,'Imputación TR - Proyecto-Quince'!$C:$C,0)),"")</f>
        <v/>
      </c>
      <c r="AD21" s="92"/>
      <c r="AE21" s="143"/>
      <c r="AF21" s="143" t="str">
        <f t="shared" si="18"/>
        <v/>
      </c>
      <c r="AG21" s="143" t="s">
        <v>82</v>
      </c>
      <c r="AH21" s="98"/>
      <c r="AI21" s="70" t="str">
        <f t="shared" si="19"/>
        <v>-</v>
      </c>
      <c r="AJ21" s="143">
        <f t="shared" si="20"/>
        <v>0</v>
      </c>
      <c r="AK21" s="98"/>
      <c r="AL21" s="98"/>
      <c r="AM21" s="97"/>
      <c r="AN21" s="97"/>
      <c r="AO21" s="98"/>
      <c r="AP21" s="98"/>
      <c r="AQ21" s="98"/>
      <c r="AR21" s="98"/>
      <c r="AS21" s="98"/>
      <c r="AT21" s="97"/>
      <c r="AU21" s="97"/>
      <c r="AV21" s="98"/>
      <c r="AW21" s="98"/>
      <c r="AX21" s="98"/>
      <c r="AY21" s="137"/>
      <c r="AZ21" s="94"/>
      <c r="BA21" s="88"/>
      <c r="BB21" s="143" t="str">
        <f t="array" ref="BB21">IFERROR(INDEX('Resument Total - Ofertas Proyec'!$B:$B,MATCH(BE21,'Resument Total - Ofertas Proyec'!$D:$D,0)),"")</f>
        <v>SDATOOL-51827</v>
      </c>
      <c r="BC21" s="143" t="str">
        <f t="array" ref="BC21">IFERROR(INDEX('Imputación TR - Proyecto-Quince'!$B:$B,MATCH(BE21,'Imputación TR - Proyecto-Quince'!$C:$C,0)),"")</f>
        <v>Eventos Corporativos</v>
      </c>
      <c r="BD21" s="92"/>
      <c r="BE21" s="76" t="s">
        <v>51</v>
      </c>
      <c r="BF21" s="143" t="str">
        <f t="shared" si="21"/>
        <v>GoldenSource</v>
      </c>
      <c r="BG21" s="77" t="s">
        <v>83</v>
      </c>
      <c r="BH21" s="71" t="s">
        <v>84</v>
      </c>
      <c r="BI21" s="70" t="str">
        <f t="shared" si="22"/>
        <v>Otras Tecnologías</v>
      </c>
      <c r="BJ21" s="143">
        <f t="shared" si="7"/>
        <v>50</v>
      </c>
      <c r="BK21" s="99"/>
      <c r="BL21" s="99"/>
      <c r="BM21" s="99"/>
      <c r="BN21" s="89">
        <v>5.0</v>
      </c>
      <c r="BO21" s="89">
        <v>5.0</v>
      </c>
      <c r="BP21" s="89">
        <v>5.0</v>
      </c>
      <c r="BQ21" s="89">
        <v>5.0</v>
      </c>
      <c r="BR21" s="89">
        <v>5.0</v>
      </c>
      <c r="BS21" s="99"/>
      <c r="BT21" s="99"/>
      <c r="BU21" s="89">
        <v>5.0</v>
      </c>
      <c r="BV21" s="89">
        <v>5.0</v>
      </c>
      <c r="BW21" s="89">
        <v>5.0</v>
      </c>
      <c r="BX21" s="89">
        <v>5.0</v>
      </c>
      <c r="BY21" s="89">
        <v>5.0</v>
      </c>
      <c r="BZ21" s="94"/>
      <c r="CA21" s="88"/>
      <c r="CB21" s="143" t="str">
        <f t="array" ref="CB21">IFERROR(INDEX('Resument Total - Ofertas Proyec'!$B:$B,MATCH(CE21,'Resument Total - Ofertas Proyec'!$D:$D,0)),"")</f>
        <v>SDATOOL-51827</v>
      </c>
      <c r="CC21" s="143" t="str">
        <f t="array" ref="CC21">IFERROR(INDEX('Imputación TR - Proyecto-Quince'!$B:$B,MATCH(CE21,'Imputación TR - Proyecto-Quince'!$C:$C,0)),"")</f>
        <v>Eventos Corporativos</v>
      </c>
      <c r="CD21" s="92"/>
      <c r="CE21" s="24" t="s">
        <v>51</v>
      </c>
      <c r="CF21" s="143" t="str">
        <f t="shared" si="23"/>
        <v>GoldenSource</v>
      </c>
      <c r="CG21" s="76" t="s">
        <v>83</v>
      </c>
      <c r="CH21" s="71" t="s">
        <v>84</v>
      </c>
      <c r="CI21" s="70" t="str">
        <f t="shared" si="24"/>
        <v>Otras Tecnologías</v>
      </c>
      <c r="CJ21" s="143">
        <f t="shared" si="25"/>
        <v>100</v>
      </c>
      <c r="CK21" s="99"/>
      <c r="CL21" s="99"/>
      <c r="CM21" s="89">
        <v>10.0</v>
      </c>
      <c r="CN21" s="89">
        <v>10.0</v>
      </c>
      <c r="CO21" s="89">
        <v>10.0</v>
      </c>
      <c r="CP21" s="89">
        <v>10.0</v>
      </c>
      <c r="CQ21" s="89">
        <v>10.0</v>
      </c>
      <c r="CR21" s="99"/>
      <c r="CS21" s="99"/>
      <c r="CT21" s="89">
        <v>10.0</v>
      </c>
      <c r="CU21" s="89">
        <v>10.0</v>
      </c>
      <c r="CV21" s="89">
        <v>10.0</v>
      </c>
      <c r="CW21" s="89">
        <v>10.0</v>
      </c>
      <c r="CX21" s="89">
        <v>10.0</v>
      </c>
      <c r="CY21" s="99"/>
      <c r="CZ21" s="100"/>
      <c r="DA21" s="94"/>
      <c r="DB21" s="88"/>
      <c r="DC21" s="143" t="str">
        <f t="array" ref="DC21">IFERROR(INDEX('Resument Total - Ofertas Proyec'!$B:$B,MATCH(DF21,'Resument Total - Ofertas Proyec'!$D:$D,0)),"")</f>
        <v/>
      </c>
      <c r="DD21" s="143" t="str">
        <f t="array" ref="DD21">IFERROR(INDEX('Imputación TR - Proyecto-Quince'!$B:$B,MATCH(DF21,'Imputación TR - Proyecto-Quince'!$C:$C,0)),"")</f>
        <v/>
      </c>
      <c r="DE21" s="46" t="s">
        <v>64</v>
      </c>
      <c r="DF21" s="68"/>
      <c r="DG21" s="68" t="str">
        <f t="shared" ref="DG21:DG26" si="46">IF(DJ21="Otras Tecnologías","GoldenSource","")</f>
        <v/>
      </c>
      <c r="DH21" s="75" t="s">
        <v>80</v>
      </c>
      <c r="DI21" s="78" t="s">
        <v>81</v>
      </c>
      <c r="DJ21" s="70" t="str">
        <f t="shared" si="39"/>
        <v>-</v>
      </c>
      <c r="DK21" s="143">
        <f t="shared" si="28"/>
        <v>51</v>
      </c>
      <c r="DL21" s="92"/>
      <c r="DM21" s="92"/>
      <c r="DN21" s="92"/>
      <c r="DO21" s="92"/>
      <c r="DP21" s="92"/>
      <c r="DQ21" s="99"/>
      <c r="DR21" s="99"/>
      <c r="DS21" s="102">
        <v>9.0</v>
      </c>
      <c r="DT21" s="102">
        <v>9.0</v>
      </c>
      <c r="DU21" s="102">
        <v>9.0</v>
      </c>
      <c r="DV21" s="102">
        <v>9.0</v>
      </c>
      <c r="DW21" s="102">
        <v>6.0</v>
      </c>
      <c r="DX21" s="103"/>
      <c r="DY21" s="103"/>
      <c r="DZ21" s="102">
        <v>9.0</v>
      </c>
      <c r="EA21" s="94"/>
      <c r="EB21" s="88"/>
      <c r="EC21" s="143" t="str">
        <f t="array" ref="EC21">IFERROR(INDEX('Resument Total - Ofertas Proyec'!$B:$B,MATCH(EF21,'Resument Total - Ofertas Proyec'!$D:$D,0)),"")</f>
        <v/>
      </c>
      <c r="ED21" s="143" t="str">
        <f t="array" ref="ED21">IFERROR(INDEX('Imputación TR - Proyecto-Quince'!$B:$B,MATCH(EF21,'Imputación TR - Proyecto-Quince'!$C:$C,0)),"")</f>
        <v/>
      </c>
      <c r="EE21" s="92"/>
      <c r="EF21" s="143"/>
      <c r="EG21" s="143" t="str">
        <f t="shared" si="35"/>
        <v/>
      </c>
      <c r="EH21" s="143" t="s">
        <v>82</v>
      </c>
      <c r="EI21" s="98"/>
      <c r="EJ21" s="70" t="str">
        <f t="shared" si="29"/>
        <v>-</v>
      </c>
      <c r="EK21" s="143">
        <f t="shared" si="30"/>
        <v>0</v>
      </c>
      <c r="EL21" s="92"/>
      <c r="EM21" s="92"/>
      <c r="EN21" s="92"/>
      <c r="EO21" s="92"/>
      <c r="EP21" s="99"/>
      <c r="EQ21" s="99"/>
      <c r="ER21" s="101"/>
      <c r="ES21" s="101"/>
      <c r="ET21" s="101"/>
      <c r="EU21" s="101"/>
      <c r="EV21" s="101"/>
      <c r="EW21" s="103"/>
      <c r="EX21" s="103"/>
      <c r="EY21" s="101"/>
      <c r="EZ21" s="101"/>
    </row>
    <row r="22" ht="18.0" customHeight="1">
      <c r="A22" s="107"/>
      <c r="B22" s="120" t="str">
        <f t="array" ref="B22">IFERROR(INDEX('Imputación TR - Proyecto-Quince'!$A:$A,MATCH(E22,'Imputación TR - Proyecto-Quince'!$C:$C,0)),"")</f>
        <v/>
      </c>
      <c r="C22" s="120" t="str">
        <f t="array" ref="C22">IFERROR(INDEX('Imputación TR - Proyecto-Quince'!$B:$B,MATCH(E22,'Imputación TR - Proyecto-Quince'!$C:$C,0)),"")</f>
        <v/>
      </c>
      <c r="D22" s="120"/>
      <c r="E22" s="76"/>
      <c r="F22" s="116" t="str">
        <f t="shared" si="44"/>
        <v/>
      </c>
      <c r="G22" s="120" t="s">
        <v>82</v>
      </c>
      <c r="H22" s="116"/>
      <c r="I22" s="113" t="str">
        <f t="shared" si="45"/>
        <v>-</v>
      </c>
      <c r="J22" s="120">
        <f t="shared" si="17"/>
        <v>0</v>
      </c>
      <c r="K22" s="116"/>
      <c r="L22" s="114"/>
      <c r="M22" s="114"/>
      <c r="N22" s="115"/>
      <c r="O22" s="115"/>
      <c r="P22" s="116"/>
      <c r="Q22" s="116"/>
      <c r="R22" s="116"/>
      <c r="S22" s="116"/>
      <c r="T22" s="116"/>
      <c r="U22" s="115"/>
      <c r="V22" s="115"/>
      <c r="W22" s="116"/>
      <c r="X22" s="116"/>
      <c r="Y22" s="117"/>
      <c r="Z22" s="94"/>
      <c r="AA22" s="107"/>
      <c r="AB22" s="116" t="str">
        <f t="array" ref="AB22">IFERROR(INDEX('Resument Total - Ofertas Proyec'!$B:$B,MATCH(AE22,'Resument Total - Ofertas Proyec'!$D:$D,0)),"")</f>
        <v/>
      </c>
      <c r="AC22" s="116" t="str">
        <f t="array" ref="AC22">IFERROR(INDEX('Imputación TR - Proyecto-Quince'!$B:$B,MATCH(AE22,'Imputación TR - Proyecto-Quince'!$C:$C,0)),"")</f>
        <v/>
      </c>
      <c r="AD22" s="116"/>
      <c r="AE22" s="116"/>
      <c r="AF22" s="116" t="str">
        <f t="shared" si="18"/>
        <v/>
      </c>
      <c r="AG22" s="120" t="s">
        <v>82</v>
      </c>
      <c r="AH22" s="116"/>
      <c r="AI22" s="113" t="str">
        <f t="shared" si="19"/>
        <v>-</v>
      </c>
      <c r="AJ22" s="120">
        <f t="shared" si="20"/>
        <v>0</v>
      </c>
      <c r="AK22" s="120"/>
      <c r="AL22" s="120"/>
      <c r="AM22" s="121"/>
      <c r="AN22" s="121"/>
      <c r="AO22" s="120"/>
      <c r="AP22" s="120"/>
      <c r="AQ22" s="120"/>
      <c r="AR22" s="120"/>
      <c r="AS22" s="120"/>
      <c r="AT22" s="121"/>
      <c r="AU22" s="121"/>
      <c r="AV22" s="120"/>
      <c r="AW22" s="120"/>
      <c r="AX22" s="120"/>
      <c r="AY22" s="142"/>
      <c r="AZ22" s="94"/>
      <c r="BA22" s="107"/>
      <c r="BB22" s="116" t="str">
        <f t="array" ref="BB22">IFERROR(INDEX('Resument Total - Ofertas Proyec'!$B:$B,MATCH(BE22,'Resument Total - Ofertas Proyec'!$D:$D,0)),"")</f>
        <v/>
      </c>
      <c r="BC22" s="116" t="str">
        <f t="array" ref="BC22">IFERROR(INDEX('Imputación TR - Proyecto-Quince'!$B:$B,MATCH(BE22,'Imputación TR - Proyecto-Quince'!$C:$C,0)),"")</f>
        <v/>
      </c>
      <c r="BD22" s="116"/>
      <c r="BE22" s="116"/>
      <c r="BF22" s="116" t="str">
        <f t="shared" si="21"/>
        <v/>
      </c>
      <c r="BG22" s="120" t="s">
        <v>82</v>
      </c>
      <c r="BH22" s="116"/>
      <c r="BI22" s="113" t="str">
        <f t="shared" si="22"/>
        <v>-</v>
      </c>
      <c r="BJ22" s="120">
        <f t="shared" si="7"/>
        <v>0</v>
      </c>
      <c r="BK22" s="123"/>
      <c r="BL22" s="123"/>
      <c r="BM22" s="123"/>
      <c r="BN22" s="116"/>
      <c r="BO22" s="116"/>
      <c r="BP22" s="116"/>
      <c r="BQ22" s="116"/>
      <c r="BR22" s="116"/>
      <c r="BS22" s="123"/>
      <c r="BT22" s="123"/>
      <c r="BU22" s="116"/>
      <c r="BV22" s="116"/>
      <c r="BW22" s="116"/>
      <c r="BX22" s="116"/>
      <c r="BY22" s="116"/>
      <c r="BZ22" s="94"/>
      <c r="CA22" s="107"/>
      <c r="CB22" s="116" t="str">
        <f t="array" ref="CB22">IFERROR(INDEX('Resument Total - Ofertas Proyec'!$B:$B,MATCH(CE22,'Resument Total - Ofertas Proyec'!$D:$D,0)),"")</f>
        <v/>
      </c>
      <c r="CC22" s="116" t="str">
        <f t="array" ref="CC22">IFERROR(INDEX('Imputación TR - Proyecto-Quince'!$B:$B,MATCH(CE22,'Imputación TR - Proyecto-Quince'!$C:$C,0)),"")</f>
        <v/>
      </c>
      <c r="CD22" s="116"/>
      <c r="CE22" s="116"/>
      <c r="CF22" s="116" t="str">
        <f t="shared" si="23"/>
        <v/>
      </c>
      <c r="CG22" s="120" t="s">
        <v>82</v>
      </c>
      <c r="CH22" s="116"/>
      <c r="CI22" s="113" t="str">
        <f t="shared" si="24"/>
        <v>-</v>
      </c>
      <c r="CJ22" s="120">
        <f t="shared" si="25"/>
        <v>0</v>
      </c>
      <c r="CK22" s="123"/>
      <c r="CL22" s="123"/>
      <c r="CM22" s="116"/>
      <c r="CN22" s="116"/>
      <c r="CO22" s="116"/>
      <c r="CP22" s="116"/>
      <c r="CQ22" s="116"/>
      <c r="CR22" s="123"/>
      <c r="CS22" s="123"/>
      <c r="CT22" s="116"/>
      <c r="CU22" s="116"/>
      <c r="CV22" s="116"/>
      <c r="CW22" s="116"/>
      <c r="CX22" s="116"/>
      <c r="CY22" s="123"/>
      <c r="CZ22" s="124"/>
      <c r="DA22" s="94"/>
      <c r="DB22" s="107"/>
      <c r="DC22" s="116" t="str">
        <f t="array" ref="DC22">IFERROR(INDEX('Resument Total - Ofertas Proyec'!$B:$B,MATCH(DF22,'Resument Total - Ofertas Proyec'!$D:$D,0)),"")</f>
        <v/>
      </c>
      <c r="DD22" s="116" t="str">
        <f t="array" ref="DD22">IFERROR(INDEX('Imputación TR - Proyecto-Quince'!$B:$B,MATCH(DF22,'Imputación TR - Proyecto-Quince'!$C:$C,0)),"")</f>
        <v/>
      </c>
      <c r="DE22" s="116"/>
      <c r="DF22" s="116"/>
      <c r="DG22" s="116" t="str">
        <f t="shared" si="46"/>
        <v/>
      </c>
      <c r="DH22" s="120" t="s">
        <v>82</v>
      </c>
      <c r="DI22" s="116"/>
      <c r="DJ22" s="113" t="str">
        <f t="shared" si="39"/>
        <v>-</v>
      </c>
      <c r="DK22" s="120">
        <f t="shared" si="28"/>
        <v>0</v>
      </c>
      <c r="DL22" s="116"/>
      <c r="DM22" s="116"/>
      <c r="DN22" s="116"/>
      <c r="DO22" s="116"/>
      <c r="DP22" s="116"/>
      <c r="DQ22" s="123"/>
      <c r="DR22" s="123"/>
      <c r="DS22" s="125"/>
      <c r="DT22" s="125"/>
      <c r="DU22" s="125"/>
      <c r="DV22" s="125"/>
      <c r="DW22" s="125"/>
      <c r="DX22" s="126"/>
      <c r="DY22" s="126"/>
      <c r="DZ22" s="125"/>
      <c r="EA22" s="94"/>
      <c r="EB22" s="107"/>
      <c r="EC22" s="116" t="str">
        <f t="array" ref="EC22">IFERROR(INDEX('Resument Total - Ofertas Proyec'!$B:$B,MATCH(EF22,'Resument Total - Ofertas Proyec'!$D:$D,0)),"")</f>
        <v/>
      </c>
      <c r="ED22" s="116" t="str">
        <f t="array" ref="ED22">IFERROR(INDEX('Imputación TR - Proyecto-Quince'!$B:$B,MATCH(EF22,'Imputación TR - Proyecto-Quince'!$C:$C,0)),"")</f>
        <v/>
      </c>
      <c r="EE22" s="116"/>
      <c r="EF22" s="116"/>
      <c r="EG22" s="116" t="str">
        <f t="shared" si="35"/>
        <v/>
      </c>
      <c r="EH22" s="120" t="s">
        <v>82</v>
      </c>
      <c r="EI22" s="116"/>
      <c r="EJ22" s="113" t="str">
        <f t="shared" si="29"/>
        <v>-</v>
      </c>
      <c r="EK22" s="120">
        <f t="shared" si="30"/>
        <v>0</v>
      </c>
      <c r="EL22" s="116"/>
      <c r="EM22" s="116"/>
      <c r="EN22" s="116"/>
      <c r="EO22" s="116"/>
      <c r="EP22" s="123"/>
      <c r="EQ22" s="123"/>
      <c r="ER22" s="125"/>
      <c r="ES22" s="125"/>
      <c r="ET22" s="125"/>
      <c r="EU22" s="125"/>
      <c r="EV22" s="125"/>
      <c r="EW22" s="126"/>
      <c r="EX22" s="126"/>
      <c r="EY22" s="125"/>
      <c r="EZ22" s="125"/>
    </row>
    <row r="23" ht="18.0" customHeight="1">
      <c r="A23" s="55" t="s">
        <v>93</v>
      </c>
      <c r="B23" s="56" t="str">
        <f t="array" ref="B23">IFERROR(INDEX('Imputación TR - Proyecto-Quince'!$A:$A,MATCH(E23,'Imputación TR - Proyecto-Quince'!$C:$C,0)),"")</f>
        <v/>
      </c>
      <c r="C23" s="56"/>
      <c r="D23" s="57" t="s">
        <v>64</v>
      </c>
      <c r="E23" s="58"/>
      <c r="F23" s="58"/>
      <c r="G23" s="57" t="s">
        <v>80</v>
      </c>
      <c r="H23" s="59" t="s">
        <v>81</v>
      </c>
      <c r="I23" s="60" t="s">
        <v>82</v>
      </c>
      <c r="J23" s="57">
        <f t="shared" si="17"/>
        <v>87</v>
      </c>
      <c r="K23" s="61">
        <v>9.0</v>
      </c>
      <c r="L23" s="62">
        <v>9.0</v>
      </c>
      <c r="M23" s="62"/>
      <c r="N23" s="63"/>
      <c r="O23" s="63"/>
      <c r="P23" s="64">
        <v>9.0</v>
      </c>
      <c r="Q23" s="64">
        <v>9.0</v>
      </c>
      <c r="R23" s="64">
        <v>9.0</v>
      </c>
      <c r="S23" s="64">
        <v>9.0</v>
      </c>
      <c r="T23" s="64">
        <v>6.0</v>
      </c>
      <c r="U23" s="63"/>
      <c r="V23" s="63"/>
      <c r="W23" s="64">
        <v>9.0</v>
      </c>
      <c r="X23" s="64">
        <v>9.0</v>
      </c>
      <c r="Y23" s="65">
        <v>9.0</v>
      </c>
      <c r="Z23" s="66"/>
      <c r="AA23" s="55" t="s">
        <v>93</v>
      </c>
      <c r="AB23" s="67" t="str">
        <f t="array" ref="AB23">IFERROR(INDEX('Resument Total - Ofertas Proyec'!$B:$B,MATCH(AE23,'Resument Total - Ofertas Proyec'!$D:$D,0)),"")</f>
        <v>SDATOOL-51827</v>
      </c>
      <c r="AC23" s="67" t="str">
        <f t="array" ref="AC23">IFERROR(INDEX('Imputación TR - Proyecto-Quince'!$B:$B,MATCH(AE23,'Imputación TR - Proyecto-Quince'!$C:$C,0)),"")</f>
        <v>Maestro emisiones</v>
      </c>
      <c r="AD23" s="95"/>
      <c r="AE23" s="10" t="s">
        <v>49</v>
      </c>
      <c r="AF23" s="75" t="str">
        <f t="shared" si="18"/>
        <v/>
      </c>
      <c r="AG23" s="77" t="s">
        <v>83</v>
      </c>
      <c r="AH23" s="64" t="s">
        <v>81</v>
      </c>
      <c r="AI23" s="60" t="str">
        <f t="shared" si="19"/>
        <v>-</v>
      </c>
      <c r="AJ23" s="75">
        <f t="shared" si="20"/>
        <v>110</v>
      </c>
      <c r="AK23" s="64">
        <v>10.0</v>
      </c>
      <c r="AL23" s="64">
        <v>10.0</v>
      </c>
      <c r="AM23" s="80"/>
      <c r="AN23" s="80"/>
      <c r="AO23" s="64">
        <v>10.0</v>
      </c>
      <c r="AP23" s="64">
        <v>10.0</v>
      </c>
      <c r="AQ23" s="64">
        <v>10.0</v>
      </c>
      <c r="AR23" s="64">
        <v>10.0</v>
      </c>
      <c r="AS23" s="64">
        <v>10.0</v>
      </c>
      <c r="AT23" s="80"/>
      <c r="AU23" s="80"/>
      <c r="AV23" s="64">
        <v>10.0</v>
      </c>
      <c r="AW23" s="64">
        <v>10.0</v>
      </c>
      <c r="AX23" s="64">
        <v>10.0</v>
      </c>
      <c r="AY23" s="64">
        <v>10.0</v>
      </c>
      <c r="AZ23" s="66"/>
      <c r="BA23" s="55" t="s">
        <v>93</v>
      </c>
      <c r="BB23" s="67" t="str">
        <f t="array" ref="BB23">IFERROR(INDEX('Resument Total - Ofertas Proyec'!$B:$B,MATCH(BE23,'Resument Total - Ofertas Proyec'!$D:$D,0)),"")</f>
        <v>SDATOOL-51827</v>
      </c>
      <c r="BC23" s="67" t="str">
        <f t="array" ref="BC23">IFERROR(INDEX('Imputación TR - Proyecto-Quince'!$B:$B,MATCH(BE23,'Imputación TR - Proyecto-Quince'!$C:$C,0)),"")</f>
        <v>Maestro emisiones</v>
      </c>
      <c r="BD23" s="95"/>
      <c r="BE23" s="10" t="s">
        <v>49</v>
      </c>
      <c r="BF23" s="75" t="str">
        <f t="shared" si="21"/>
        <v>GoldenSource</v>
      </c>
      <c r="BG23" s="77" t="s">
        <v>83</v>
      </c>
      <c r="BH23" s="64" t="s">
        <v>84</v>
      </c>
      <c r="BI23" s="60" t="str">
        <f t="shared" si="22"/>
        <v>Otras Tecnologías</v>
      </c>
      <c r="BJ23" s="75">
        <f t="shared" si="7"/>
        <v>150</v>
      </c>
      <c r="BK23" s="80"/>
      <c r="BL23" s="80"/>
      <c r="BM23" s="80"/>
      <c r="BN23" s="64">
        <v>15.0</v>
      </c>
      <c r="BO23" s="64">
        <v>15.0</v>
      </c>
      <c r="BP23" s="64">
        <v>15.0</v>
      </c>
      <c r="BQ23" s="64">
        <v>15.0</v>
      </c>
      <c r="BR23" s="64">
        <v>15.0</v>
      </c>
      <c r="BS23" s="80"/>
      <c r="BT23" s="80"/>
      <c r="BU23" s="64">
        <v>15.0</v>
      </c>
      <c r="BV23" s="64">
        <v>15.0</v>
      </c>
      <c r="BW23" s="64">
        <v>15.0</v>
      </c>
      <c r="BX23" s="64">
        <v>15.0</v>
      </c>
      <c r="BY23" s="64">
        <v>15.0</v>
      </c>
      <c r="BZ23" s="66"/>
      <c r="CA23" s="55" t="s">
        <v>93</v>
      </c>
      <c r="CB23" s="67" t="str">
        <f t="array" ref="CB23">IFERROR(INDEX('Resument Total - Ofertas Proyec'!$B:$B,MATCH(CE23,'Resument Total - Ofertas Proyec'!$D:$D,0)),"")</f>
        <v>SDATOOL-51827</v>
      </c>
      <c r="CC23" s="67" t="str">
        <f t="array" ref="CC23">IFERROR(INDEX('Imputación TR - Proyecto-Quince'!$B:$B,MATCH(CE23,'Imputación TR - Proyecto-Quince'!$C:$C,0)),"")</f>
        <v>Maestro emisiones</v>
      </c>
      <c r="CD23" s="95"/>
      <c r="CE23" s="10" t="s">
        <v>49</v>
      </c>
      <c r="CF23" s="75" t="str">
        <f t="shared" si="23"/>
        <v>GoldenSource</v>
      </c>
      <c r="CG23" s="77" t="s">
        <v>83</v>
      </c>
      <c r="CH23" s="64" t="s">
        <v>86</v>
      </c>
      <c r="CI23" s="60" t="str">
        <f t="shared" si="24"/>
        <v>Otras Tecnologías</v>
      </c>
      <c r="CJ23" s="75">
        <f t="shared" si="25"/>
        <v>50</v>
      </c>
      <c r="CK23" s="80"/>
      <c r="CL23" s="80"/>
      <c r="CM23" s="64">
        <v>5.0</v>
      </c>
      <c r="CN23" s="64">
        <v>5.0</v>
      </c>
      <c r="CO23" s="64">
        <v>5.0</v>
      </c>
      <c r="CP23" s="64">
        <v>5.0</v>
      </c>
      <c r="CQ23" s="64">
        <v>5.0</v>
      </c>
      <c r="CR23" s="80"/>
      <c r="CS23" s="80"/>
      <c r="CT23" s="64">
        <v>5.0</v>
      </c>
      <c r="CU23" s="64">
        <v>5.0</v>
      </c>
      <c r="CV23" s="64">
        <v>5.0</v>
      </c>
      <c r="CW23" s="64">
        <v>5.0</v>
      </c>
      <c r="CX23" s="64">
        <v>5.0</v>
      </c>
      <c r="CY23" s="80"/>
      <c r="CZ23" s="81"/>
      <c r="DA23" s="66"/>
      <c r="DB23" s="55" t="s">
        <v>93</v>
      </c>
      <c r="DC23" s="67" t="str">
        <f t="array" ref="DC23">IFERROR(INDEX('Resument Total - Ofertas Proyec'!$B:$B,MATCH(DF23,'Resument Total - Ofertas Proyec'!$D:$D,0)),"")</f>
        <v>SDATOOL-51827</v>
      </c>
      <c r="DD23" s="67" t="str">
        <f t="array" ref="DD23">IFERROR(INDEX('Imputación TR - Proyecto-Quince'!$B:$B,MATCH(DF23,'Imputación TR - Proyecto-Quince'!$C:$C,0)),"")</f>
        <v>Maestro emisiones</v>
      </c>
      <c r="DE23" s="95"/>
      <c r="DF23" s="10" t="s">
        <v>49</v>
      </c>
      <c r="DG23" s="75" t="str">
        <f t="shared" si="46"/>
        <v>GoldenSource</v>
      </c>
      <c r="DH23" s="77" t="s">
        <v>83</v>
      </c>
      <c r="DI23" s="64" t="s">
        <v>86</v>
      </c>
      <c r="DJ23" s="60" t="str">
        <f t="shared" si="39"/>
        <v>Otras Tecnologías</v>
      </c>
      <c r="DK23" s="75">
        <f t="shared" si="28"/>
        <v>42</v>
      </c>
      <c r="DL23" s="64">
        <v>9.0</v>
      </c>
      <c r="DM23" s="64">
        <v>9.0</v>
      </c>
      <c r="DN23" s="64">
        <v>9.0</v>
      </c>
      <c r="DO23" s="64">
        <v>9.0</v>
      </c>
      <c r="DP23" s="64">
        <v>6.0</v>
      </c>
      <c r="DQ23" s="80"/>
      <c r="DR23" s="80"/>
      <c r="DS23" s="87"/>
      <c r="DT23" s="87"/>
      <c r="DU23" s="87"/>
      <c r="DV23" s="87"/>
      <c r="DW23" s="87"/>
      <c r="DX23" s="82"/>
      <c r="DY23" s="82"/>
      <c r="DZ23" s="87"/>
      <c r="EA23" s="66"/>
      <c r="EB23" s="55" t="s">
        <v>93</v>
      </c>
      <c r="EC23" s="67" t="str">
        <f t="array" ref="EC23">IFERROR(INDEX('Resument Total - Ofertas Proyec'!$B:$B,MATCH(EF23,'Resument Total - Ofertas Proyec'!$D:$D,0)),"")</f>
        <v/>
      </c>
      <c r="ED23" s="67" t="str">
        <f t="array" ref="ED23">IFERROR(INDEX('Imputación TR - Proyecto-Quince'!$B:$B,MATCH(EF23,'Imputación TR - Proyecto-Quince'!$C:$C,0)),"")</f>
        <v/>
      </c>
      <c r="EE23" s="61" t="s">
        <v>64</v>
      </c>
      <c r="EF23" s="184"/>
      <c r="EG23" s="184" t="str">
        <f t="shared" si="35"/>
        <v/>
      </c>
      <c r="EH23" s="144" t="s">
        <v>80</v>
      </c>
      <c r="EI23" s="64" t="s">
        <v>81</v>
      </c>
      <c r="EJ23" s="60" t="str">
        <f t="shared" si="29"/>
        <v>-</v>
      </c>
      <c r="EK23" s="75">
        <f t="shared" si="30"/>
        <v>93</v>
      </c>
      <c r="EL23" s="64">
        <v>9.0</v>
      </c>
      <c r="EM23" s="64">
        <v>9.0</v>
      </c>
      <c r="EN23" s="64">
        <v>9.0</v>
      </c>
      <c r="EO23" s="64">
        <v>6.0</v>
      </c>
      <c r="EP23" s="80"/>
      <c r="EQ23" s="80"/>
      <c r="ER23" s="83">
        <v>9.0</v>
      </c>
      <c r="ES23" s="83">
        <v>9.0</v>
      </c>
      <c r="ET23" s="83">
        <v>9.0</v>
      </c>
      <c r="EU23" s="83">
        <v>9.0</v>
      </c>
      <c r="EV23" s="83">
        <v>6.0</v>
      </c>
      <c r="EW23" s="82"/>
      <c r="EX23" s="82"/>
      <c r="EY23" s="83">
        <v>9.0</v>
      </c>
      <c r="EZ23" s="83">
        <v>9.0</v>
      </c>
    </row>
    <row r="24" ht="18.0" customHeight="1">
      <c r="A24" s="88"/>
      <c r="B24" s="143" t="str">
        <f t="array" ref="B24">IFERROR(INDEX('Imputación TR - Proyecto-Quince'!$A:$A,MATCH(E24,'Imputación TR - Proyecto-Quince'!$C:$C,0)),"")</f>
        <v/>
      </c>
      <c r="C24" s="143" t="str">
        <f t="array" ref="C24">IFERROR(INDEX('Imputación TR - Proyecto-Quince'!$B:$B,MATCH(E24,'Imputación TR - Proyecto-Quince'!$C:$C,0)),"")</f>
        <v/>
      </c>
      <c r="D24" s="98"/>
      <c r="E24" s="143"/>
      <c r="F24" s="143" t="str">
        <f t="shared" ref="F24:F25" si="47">IF(I24="Otras Tecnologías","GoldenSource","")</f>
        <v/>
      </c>
      <c r="G24" s="143" t="s">
        <v>82</v>
      </c>
      <c r="H24" s="98"/>
      <c r="I24" s="70" t="str">
        <f t="shared" ref="I24:I25" si="48">IF(OR(H24="Codificación",H24="Pruebas"),"Otras Tecnologías","-")</f>
        <v>-</v>
      </c>
      <c r="J24" s="143">
        <f t="shared" si="17"/>
        <v>0</v>
      </c>
      <c r="K24" s="92"/>
      <c r="L24" s="90"/>
      <c r="M24" s="90"/>
      <c r="N24" s="91"/>
      <c r="O24" s="91"/>
      <c r="P24" s="92"/>
      <c r="Q24" s="92"/>
      <c r="R24" s="92"/>
      <c r="S24" s="92"/>
      <c r="T24" s="92"/>
      <c r="U24" s="91"/>
      <c r="V24" s="91"/>
      <c r="W24" s="92"/>
      <c r="X24" s="92"/>
      <c r="Y24" s="93"/>
      <c r="Z24" s="94"/>
      <c r="AA24" s="88"/>
      <c r="AB24" s="143" t="str">
        <f t="array" ref="AB24">IFERROR(INDEX('Resument Total - Ofertas Proyec'!$B:$B,MATCH(AE24,'Resument Total - Ofertas Proyec'!$D:$D,0)),"")</f>
        <v/>
      </c>
      <c r="AC24" s="143" t="str">
        <f t="array" ref="AC24">IFERROR(INDEX('Imputación TR - Proyecto-Quince'!$B:$B,MATCH(AE24,'Imputación TR - Proyecto-Quince'!$C:$C,0)),"")</f>
        <v/>
      </c>
      <c r="AD24" s="92"/>
      <c r="AE24" s="143"/>
      <c r="AF24" s="143" t="str">
        <f t="shared" si="18"/>
        <v/>
      </c>
      <c r="AG24" s="143" t="s">
        <v>82</v>
      </c>
      <c r="AH24" s="98"/>
      <c r="AI24" s="70" t="str">
        <f t="shared" si="19"/>
        <v>-</v>
      </c>
      <c r="AJ24" s="143">
        <f t="shared" si="20"/>
        <v>0</v>
      </c>
      <c r="AK24" s="98"/>
      <c r="AL24" s="98"/>
      <c r="AM24" s="97"/>
      <c r="AN24" s="97"/>
      <c r="AO24" s="98"/>
      <c r="AP24" s="98"/>
      <c r="AQ24" s="98"/>
      <c r="AR24" s="98"/>
      <c r="AS24" s="98"/>
      <c r="AT24" s="97"/>
      <c r="AU24" s="97"/>
      <c r="AV24" s="98"/>
      <c r="AW24" s="98"/>
      <c r="AX24" s="98"/>
      <c r="AY24" s="137"/>
      <c r="AZ24" s="94"/>
      <c r="BA24" s="88"/>
      <c r="BB24" s="143" t="str">
        <f t="array" ref="BB24">IFERROR(INDEX('Resument Total - Ofertas Proyec'!$B:$B,MATCH(BE24,'Resument Total - Ofertas Proyec'!$D:$D,0)),"")</f>
        <v/>
      </c>
      <c r="BC24" s="143" t="str">
        <f t="array" ref="BC24">IFERROR(INDEX('Imputación TR - Proyecto-Quince'!$B:$B,MATCH(BE24,'Imputación TR - Proyecto-Quince'!$C:$C,0)),"")</f>
        <v/>
      </c>
      <c r="BD24" s="92"/>
      <c r="BE24" s="143"/>
      <c r="BF24" s="143" t="str">
        <f t="shared" si="21"/>
        <v/>
      </c>
      <c r="BG24" s="143" t="s">
        <v>82</v>
      </c>
      <c r="BH24" s="98"/>
      <c r="BI24" s="70" t="str">
        <f t="shared" si="22"/>
        <v>-</v>
      </c>
      <c r="BJ24" s="143">
        <f t="shared" si="7"/>
        <v>0</v>
      </c>
      <c r="BK24" s="99"/>
      <c r="BL24" s="99"/>
      <c r="BM24" s="99"/>
      <c r="BN24" s="92"/>
      <c r="BO24" s="92"/>
      <c r="BP24" s="92"/>
      <c r="BQ24" s="92"/>
      <c r="BR24" s="92"/>
      <c r="BS24" s="99"/>
      <c r="BT24" s="99"/>
      <c r="BU24" s="92"/>
      <c r="BV24" s="92"/>
      <c r="BW24" s="92"/>
      <c r="BX24" s="92"/>
      <c r="BY24" s="92"/>
      <c r="BZ24" s="94"/>
      <c r="CA24" s="88"/>
      <c r="CB24" s="143" t="str">
        <f t="array" ref="CB24">IFERROR(INDEX('Resument Total - Ofertas Proyec'!$B:$B,MATCH(CE24,'Resument Total - Ofertas Proyec'!$D:$D,0)),"")</f>
        <v>SDATOOL-51827</v>
      </c>
      <c r="CC24" s="143" t="str">
        <f t="array" ref="CC24">IFERROR(INDEX('Imputación TR - Proyecto-Quince'!$B:$B,MATCH(CE24,'Imputación TR - Proyecto-Quince'!$C:$C,0)),"")</f>
        <v>Eventos Corporativos</v>
      </c>
      <c r="CD24" s="92"/>
      <c r="CE24" s="24" t="s">
        <v>51</v>
      </c>
      <c r="CF24" s="75" t="str">
        <f t="shared" si="23"/>
        <v>GoldenSource</v>
      </c>
      <c r="CG24" s="77" t="s">
        <v>83</v>
      </c>
      <c r="CH24" s="64" t="s">
        <v>84</v>
      </c>
      <c r="CI24" s="60" t="str">
        <f t="shared" si="24"/>
        <v>Otras Tecnologías</v>
      </c>
      <c r="CJ24" s="143">
        <f t="shared" si="25"/>
        <v>100</v>
      </c>
      <c r="CK24" s="99"/>
      <c r="CL24" s="99"/>
      <c r="CM24" s="89">
        <v>10.0</v>
      </c>
      <c r="CN24" s="89">
        <v>10.0</v>
      </c>
      <c r="CO24" s="89">
        <v>10.0</v>
      </c>
      <c r="CP24" s="89">
        <v>10.0</v>
      </c>
      <c r="CQ24" s="89">
        <v>10.0</v>
      </c>
      <c r="CR24" s="99"/>
      <c r="CS24" s="99"/>
      <c r="CT24" s="89">
        <v>10.0</v>
      </c>
      <c r="CU24" s="89">
        <v>10.0</v>
      </c>
      <c r="CV24" s="89">
        <v>10.0</v>
      </c>
      <c r="CW24" s="89">
        <v>10.0</v>
      </c>
      <c r="CX24" s="89">
        <v>10.0</v>
      </c>
      <c r="CY24" s="99"/>
      <c r="CZ24" s="100"/>
      <c r="DA24" s="94"/>
      <c r="DB24" s="88"/>
      <c r="DC24" s="143" t="str">
        <f t="array" ref="DC24">IFERROR(INDEX('Resument Total - Ofertas Proyec'!$B:$B,MATCH(DF24,'Resument Total - Ofertas Proyec'!$D:$D,0)),"")</f>
        <v/>
      </c>
      <c r="DD24" s="143" t="str">
        <f t="array" ref="DD24">IFERROR(INDEX('Imputación TR - Proyecto-Quince'!$B:$B,MATCH(DF24,'Imputación TR - Proyecto-Quince'!$C:$C,0)),"")</f>
        <v/>
      </c>
      <c r="DE24" s="46" t="s">
        <v>64</v>
      </c>
      <c r="DF24" s="68"/>
      <c r="DG24" s="68" t="str">
        <f t="shared" si="46"/>
        <v/>
      </c>
      <c r="DH24" s="75" t="s">
        <v>80</v>
      </c>
      <c r="DI24" s="78" t="s">
        <v>81</v>
      </c>
      <c r="DJ24" s="70" t="str">
        <f t="shared" si="39"/>
        <v>-</v>
      </c>
      <c r="DK24" s="143">
        <f t="shared" si="28"/>
        <v>51</v>
      </c>
      <c r="DL24" s="92"/>
      <c r="DM24" s="92"/>
      <c r="DN24" s="92"/>
      <c r="DO24" s="92"/>
      <c r="DP24" s="92"/>
      <c r="DQ24" s="99"/>
      <c r="DR24" s="99"/>
      <c r="DS24" s="102">
        <v>9.0</v>
      </c>
      <c r="DT24" s="102">
        <v>9.0</v>
      </c>
      <c r="DU24" s="102">
        <v>9.0</v>
      </c>
      <c r="DV24" s="102">
        <v>9.0</v>
      </c>
      <c r="DW24" s="102">
        <v>6.0</v>
      </c>
      <c r="DX24" s="103"/>
      <c r="DY24" s="103"/>
      <c r="DZ24" s="102">
        <v>9.0</v>
      </c>
      <c r="EA24" s="94"/>
      <c r="EB24" s="88"/>
      <c r="EC24" s="143" t="str">
        <f t="array" ref="EC24">IFERROR(INDEX('Resument Total - Ofertas Proyec'!$B:$B,MATCH(EF24,'Resument Total - Ofertas Proyec'!$D:$D,0)),"")</f>
        <v/>
      </c>
      <c r="ED24" s="143" t="str">
        <f t="array" ref="ED24">IFERROR(INDEX('Imputación TR - Proyecto-Quince'!$B:$B,MATCH(EF24,'Imputación TR - Proyecto-Quince'!$C:$C,0)),"")</f>
        <v/>
      </c>
      <c r="EE24" s="92"/>
      <c r="EF24" s="143"/>
      <c r="EG24" s="143" t="str">
        <f t="shared" si="35"/>
        <v/>
      </c>
      <c r="EH24" s="143" t="s">
        <v>82</v>
      </c>
      <c r="EI24" s="98"/>
      <c r="EJ24" s="70" t="str">
        <f t="shared" si="29"/>
        <v>-</v>
      </c>
      <c r="EK24" s="143">
        <f t="shared" si="30"/>
        <v>0</v>
      </c>
      <c r="EL24" s="92"/>
      <c r="EM24" s="92"/>
      <c r="EN24" s="92"/>
      <c r="EO24" s="92"/>
      <c r="EP24" s="99"/>
      <c r="EQ24" s="99"/>
      <c r="ER24" s="101"/>
      <c r="ES24" s="101"/>
      <c r="ET24" s="101"/>
      <c r="EU24" s="101"/>
      <c r="EV24" s="101"/>
      <c r="EW24" s="103"/>
      <c r="EX24" s="103"/>
      <c r="EY24" s="101"/>
      <c r="EZ24" s="101"/>
    </row>
    <row r="25" ht="18.0" customHeight="1">
      <c r="A25" s="107"/>
      <c r="B25" s="120" t="str">
        <f t="array" ref="B25">IFERROR(INDEX('Imputación TR - Proyecto-Quince'!$A:$A,MATCH(E25,'Imputación TR - Proyecto-Quince'!$C:$C,0)),"")</f>
        <v/>
      </c>
      <c r="C25" s="120" t="str">
        <f t="array" ref="C25">IFERROR(INDEX('Imputación TR - Proyecto-Quince'!$B:$B,MATCH(E25,'Imputación TR - Proyecto-Quince'!$C:$C,0)),"")</f>
        <v/>
      </c>
      <c r="D25" s="120"/>
      <c r="E25" s="116"/>
      <c r="F25" s="116" t="str">
        <f t="shared" si="47"/>
        <v/>
      </c>
      <c r="G25" s="120" t="s">
        <v>82</v>
      </c>
      <c r="H25" s="116"/>
      <c r="I25" s="113" t="str">
        <f t="shared" si="48"/>
        <v>-</v>
      </c>
      <c r="J25" s="120">
        <f t="shared" si="17"/>
        <v>0</v>
      </c>
      <c r="K25" s="116"/>
      <c r="L25" s="114"/>
      <c r="M25" s="114"/>
      <c r="N25" s="115"/>
      <c r="O25" s="115"/>
      <c r="P25" s="116"/>
      <c r="Q25" s="116"/>
      <c r="R25" s="116"/>
      <c r="S25" s="116"/>
      <c r="T25" s="116"/>
      <c r="U25" s="115"/>
      <c r="V25" s="115"/>
      <c r="W25" s="116"/>
      <c r="X25" s="116"/>
      <c r="Y25" s="117"/>
      <c r="Z25" s="94"/>
      <c r="AA25" s="107"/>
      <c r="AB25" s="116" t="str">
        <f t="array" ref="AB25">IFERROR(INDEX('Resument Total - Ofertas Proyec'!$B:$B,MATCH(AE25,'Resument Total - Ofertas Proyec'!$D:$D,0)),"")</f>
        <v/>
      </c>
      <c r="AC25" s="116" t="str">
        <f t="array" ref="AC25">IFERROR(INDEX('Imputación TR - Proyecto-Quince'!$B:$B,MATCH(AE25,'Imputación TR - Proyecto-Quince'!$C:$C,0)),"")</f>
        <v/>
      </c>
      <c r="AD25" s="116"/>
      <c r="AE25" s="116"/>
      <c r="AF25" s="116" t="str">
        <f t="shared" si="18"/>
        <v/>
      </c>
      <c r="AG25" s="120" t="s">
        <v>82</v>
      </c>
      <c r="AH25" s="116"/>
      <c r="AI25" s="113" t="str">
        <f t="shared" si="19"/>
        <v>-</v>
      </c>
      <c r="AJ25" s="120">
        <f t="shared" si="20"/>
        <v>0</v>
      </c>
      <c r="AK25" s="120"/>
      <c r="AL25" s="120"/>
      <c r="AM25" s="121"/>
      <c r="AN25" s="121"/>
      <c r="AO25" s="120"/>
      <c r="AP25" s="120"/>
      <c r="AQ25" s="120"/>
      <c r="AR25" s="120"/>
      <c r="AS25" s="120"/>
      <c r="AT25" s="121"/>
      <c r="AU25" s="121"/>
      <c r="AV25" s="120"/>
      <c r="AW25" s="120"/>
      <c r="AX25" s="120"/>
      <c r="AY25" s="142"/>
      <c r="AZ25" s="94"/>
      <c r="BA25" s="107"/>
      <c r="BB25" s="116" t="str">
        <f t="array" ref="BB25">IFERROR(INDEX('Resument Total - Ofertas Proyec'!$B:$B,MATCH(BE25,'Resument Total - Ofertas Proyec'!$D:$D,0)),"")</f>
        <v/>
      </c>
      <c r="BC25" s="116" t="str">
        <f t="array" ref="BC25">IFERROR(INDEX('Imputación TR - Proyecto-Quince'!$B:$B,MATCH(BE25,'Imputación TR - Proyecto-Quince'!$C:$C,0)),"")</f>
        <v/>
      </c>
      <c r="BD25" s="116"/>
      <c r="BE25" s="116"/>
      <c r="BF25" s="116" t="str">
        <f t="shared" si="21"/>
        <v/>
      </c>
      <c r="BG25" s="120" t="s">
        <v>82</v>
      </c>
      <c r="BH25" s="116"/>
      <c r="BI25" s="113" t="str">
        <f t="shared" si="22"/>
        <v>-</v>
      </c>
      <c r="BJ25" s="120">
        <f t="shared" si="7"/>
        <v>0</v>
      </c>
      <c r="BK25" s="123"/>
      <c r="BL25" s="123"/>
      <c r="BM25" s="123"/>
      <c r="BN25" s="116"/>
      <c r="BO25" s="116"/>
      <c r="BP25" s="116"/>
      <c r="BQ25" s="116"/>
      <c r="BR25" s="116"/>
      <c r="BS25" s="123"/>
      <c r="BT25" s="123"/>
      <c r="BU25" s="116"/>
      <c r="BV25" s="116"/>
      <c r="BW25" s="116"/>
      <c r="BX25" s="116"/>
      <c r="BY25" s="116"/>
      <c r="BZ25" s="94"/>
      <c r="CA25" s="107"/>
      <c r="CB25" s="116" t="str">
        <f t="array" ref="CB25">IFERROR(INDEX('Resument Total - Ofertas Proyec'!$B:$B,MATCH(CE25,'Resument Total - Ofertas Proyec'!$D:$D,0)),"")</f>
        <v/>
      </c>
      <c r="CC25" s="116" t="str">
        <f t="array" ref="CC25">IFERROR(INDEX('Imputación TR - Proyecto-Quince'!$B:$B,MATCH(CE25,'Imputación TR - Proyecto-Quince'!$C:$C,0)),"")</f>
        <v/>
      </c>
      <c r="CD25" s="116"/>
      <c r="CE25" s="116"/>
      <c r="CF25" s="116" t="str">
        <f t="shared" si="23"/>
        <v/>
      </c>
      <c r="CG25" s="120" t="s">
        <v>82</v>
      </c>
      <c r="CH25" s="116"/>
      <c r="CI25" s="113" t="str">
        <f t="shared" si="24"/>
        <v>-</v>
      </c>
      <c r="CJ25" s="120">
        <f t="shared" si="25"/>
        <v>0</v>
      </c>
      <c r="CK25" s="123"/>
      <c r="CL25" s="123"/>
      <c r="CM25" s="116"/>
      <c r="CN25" s="116"/>
      <c r="CO25" s="116"/>
      <c r="CP25" s="116"/>
      <c r="CQ25" s="116"/>
      <c r="CR25" s="123"/>
      <c r="CS25" s="123"/>
      <c r="CT25" s="116"/>
      <c r="CU25" s="116"/>
      <c r="CV25" s="116"/>
      <c r="CW25" s="116"/>
      <c r="CX25" s="116"/>
      <c r="CY25" s="123"/>
      <c r="CZ25" s="124"/>
      <c r="DA25" s="94"/>
      <c r="DB25" s="107"/>
      <c r="DC25" s="116" t="str">
        <f t="array" ref="DC25">IFERROR(INDEX('Resument Total - Ofertas Proyec'!$B:$B,MATCH(DF25,'Resument Total - Ofertas Proyec'!$D:$D,0)),"")</f>
        <v/>
      </c>
      <c r="DD25" s="116" t="str">
        <f t="array" ref="DD25">IFERROR(INDEX('Imputación TR - Proyecto-Quince'!$B:$B,MATCH(DF25,'Imputación TR - Proyecto-Quince'!$C:$C,0)),"")</f>
        <v/>
      </c>
      <c r="DE25" s="116"/>
      <c r="DF25" s="116"/>
      <c r="DG25" s="116" t="str">
        <f t="shared" si="46"/>
        <v/>
      </c>
      <c r="DH25" s="120" t="s">
        <v>82</v>
      </c>
      <c r="DI25" s="116"/>
      <c r="DJ25" s="113" t="str">
        <f t="shared" si="39"/>
        <v>-</v>
      </c>
      <c r="DK25" s="120">
        <f t="shared" si="28"/>
        <v>0</v>
      </c>
      <c r="DL25" s="116"/>
      <c r="DM25" s="116"/>
      <c r="DN25" s="116"/>
      <c r="DO25" s="116"/>
      <c r="DP25" s="116"/>
      <c r="DQ25" s="123"/>
      <c r="DR25" s="123"/>
      <c r="DS25" s="125"/>
      <c r="DT25" s="125"/>
      <c r="DU25" s="125"/>
      <c r="DV25" s="125"/>
      <c r="DW25" s="125"/>
      <c r="DX25" s="126"/>
      <c r="DY25" s="126"/>
      <c r="DZ25" s="125"/>
      <c r="EA25" s="94"/>
      <c r="EB25" s="107"/>
      <c r="EC25" s="116" t="str">
        <f t="array" ref="EC25">IFERROR(INDEX('Resument Total - Ofertas Proyec'!$B:$B,MATCH(EF25,'Resument Total - Ofertas Proyec'!$D:$D,0)),"")</f>
        <v/>
      </c>
      <c r="ED25" s="116" t="str">
        <f t="array" ref="ED25">IFERROR(INDEX('Imputación TR - Proyecto-Quince'!$B:$B,MATCH(EF25,'Imputación TR - Proyecto-Quince'!$C:$C,0)),"")</f>
        <v/>
      </c>
      <c r="EE25" s="116"/>
      <c r="EF25" s="116"/>
      <c r="EG25" s="116" t="str">
        <f t="shared" si="35"/>
        <v/>
      </c>
      <c r="EH25" s="120" t="s">
        <v>82</v>
      </c>
      <c r="EI25" s="116"/>
      <c r="EJ25" s="113" t="str">
        <f t="shared" si="29"/>
        <v>-</v>
      </c>
      <c r="EK25" s="120">
        <f t="shared" si="30"/>
        <v>0</v>
      </c>
      <c r="EL25" s="116"/>
      <c r="EM25" s="116"/>
      <c r="EN25" s="116"/>
      <c r="EO25" s="116"/>
      <c r="EP25" s="123"/>
      <c r="EQ25" s="123"/>
      <c r="ER25" s="125"/>
      <c r="ES25" s="125"/>
      <c r="ET25" s="125"/>
      <c r="EU25" s="125"/>
      <c r="EV25" s="125"/>
      <c r="EW25" s="126"/>
      <c r="EX25" s="126"/>
      <c r="EY25" s="125"/>
      <c r="EZ25" s="125"/>
    </row>
    <row r="26" ht="18.0" customHeight="1">
      <c r="A26" s="55" t="s">
        <v>94</v>
      </c>
      <c r="B26" s="56" t="str">
        <f t="array" ref="B26">IFERROR(INDEX('Imputación TR - Proyecto-Quince'!$A:$A,MATCH(E26,'Imputación TR - Proyecto-Quince'!$C:$C,0)),"")</f>
        <v/>
      </c>
      <c r="C26" s="56"/>
      <c r="D26" s="57" t="s">
        <v>64</v>
      </c>
      <c r="E26" s="58"/>
      <c r="F26" s="58"/>
      <c r="G26" s="57" t="s">
        <v>80</v>
      </c>
      <c r="H26" s="59" t="s">
        <v>81</v>
      </c>
      <c r="I26" s="60" t="s">
        <v>82</v>
      </c>
      <c r="J26" s="57">
        <f t="shared" si="17"/>
        <v>87</v>
      </c>
      <c r="K26" s="61">
        <v>9.0</v>
      </c>
      <c r="L26" s="62">
        <v>9.0</v>
      </c>
      <c r="M26" s="62"/>
      <c r="N26" s="63"/>
      <c r="O26" s="63"/>
      <c r="P26" s="64">
        <v>9.0</v>
      </c>
      <c r="Q26" s="64">
        <v>9.0</v>
      </c>
      <c r="R26" s="64">
        <v>9.0</v>
      </c>
      <c r="S26" s="64">
        <v>9.0</v>
      </c>
      <c r="T26" s="64">
        <v>6.0</v>
      </c>
      <c r="U26" s="63"/>
      <c r="V26" s="63"/>
      <c r="W26" s="64">
        <v>9.0</v>
      </c>
      <c r="X26" s="64">
        <v>9.0</v>
      </c>
      <c r="Y26" s="65">
        <v>9.0</v>
      </c>
      <c r="Z26" s="66"/>
      <c r="AA26" s="55" t="s">
        <v>94</v>
      </c>
      <c r="AB26" s="67" t="str">
        <f t="array" ref="AB26">IFERROR(INDEX('Resument Total - Ofertas Proyec'!$B:$B,MATCH(AE26,'Resument Total - Ofertas Proyec'!$D:$D,0)),"")</f>
        <v/>
      </c>
      <c r="AC26" s="67" t="str">
        <f t="array" ref="AC26">IFERROR(INDEX('Imputación TR - Proyecto-Quince'!$B:$B,MATCH(AE26,'Imputación TR - Proyecto-Quince'!$C:$C,0)),"")</f>
        <v/>
      </c>
      <c r="AD26" s="57" t="s">
        <v>64</v>
      </c>
      <c r="AE26" s="58"/>
      <c r="AF26" s="46" t="str">
        <f t="shared" si="18"/>
        <v/>
      </c>
      <c r="AG26" s="57" t="s">
        <v>80</v>
      </c>
      <c r="AH26" s="59" t="s">
        <v>81</v>
      </c>
      <c r="AI26" s="60" t="str">
        <f t="shared" si="19"/>
        <v>-</v>
      </c>
      <c r="AJ26" s="57">
        <f t="shared" si="20"/>
        <v>96</v>
      </c>
      <c r="AK26" s="64">
        <v>9.0</v>
      </c>
      <c r="AL26" s="64">
        <v>9.0</v>
      </c>
      <c r="AM26" s="80"/>
      <c r="AN26" s="80"/>
      <c r="AO26" s="64">
        <v>9.0</v>
      </c>
      <c r="AP26" s="64">
        <v>9.0</v>
      </c>
      <c r="AQ26" s="64">
        <v>9.0</v>
      </c>
      <c r="AR26" s="64">
        <v>9.0</v>
      </c>
      <c r="AS26" s="64">
        <v>6.0</v>
      </c>
      <c r="AT26" s="80"/>
      <c r="AU26" s="80"/>
      <c r="AV26" s="64">
        <v>9.0</v>
      </c>
      <c r="AW26" s="64">
        <v>9.0</v>
      </c>
      <c r="AX26" s="64">
        <v>9.0</v>
      </c>
      <c r="AY26" s="65">
        <v>9.0</v>
      </c>
      <c r="AZ26" s="66"/>
      <c r="BA26" s="55" t="s">
        <v>94</v>
      </c>
      <c r="BB26" s="67" t="str">
        <f t="array" ref="BB26">IFERROR(INDEX('Resument Total - Ofertas Proyec'!$B:$B,MATCH(BE26,'Resument Total - Ofertas Proyec'!$D:$D,0)),"")</f>
        <v>SDATOOL-51067</v>
      </c>
      <c r="BC26" s="67" t="str">
        <f t="array" ref="BC26">IFERROR(INDEX('Imputación TR - Proyecto-Quince'!$B:$B,MATCH(BE26,'Imputación TR - Proyecto-Quince'!$C:$C,0)),"")</f>
        <v>CTM Colombia</v>
      </c>
      <c r="BD26" s="58"/>
      <c r="BE26" s="69" t="s">
        <v>45</v>
      </c>
      <c r="BF26" s="57" t="str">
        <f t="shared" si="21"/>
        <v/>
      </c>
      <c r="BG26" s="77" t="s">
        <v>83</v>
      </c>
      <c r="BH26" s="59"/>
      <c r="BI26" s="60" t="str">
        <f t="shared" si="22"/>
        <v>-</v>
      </c>
      <c r="BJ26" s="57">
        <f t="shared" si="7"/>
        <v>0</v>
      </c>
      <c r="BK26" s="80"/>
      <c r="BL26" s="80"/>
      <c r="BM26" s="80"/>
      <c r="BN26" s="64"/>
      <c r="BO26" s="64"/>
      <c r="BP26" s="64"/>
      <c r="BQ26" s="64"/>
      <c r="BR26" s="64"/>
      <c r="BS26" s="80"/>
      <c r="BT26" s="80"/>
      <c r="BU26" s="64"/>
      <c r="BV26" s="64"/>
      <c r="BW26" s="64"/>
      <c r="BX26" s="64"/>
      <c r="BY26" s="64"/>
      <c r="BZ26" s="66"/>
      <c r="CA26" s="55" t="s">
        <v>94</v>
      </c>
      <c r="CB26" s="67" t="str">
        <f t="array" ref="CB26">IFERROR(INDEX('Resument Total - Ofertas Proyec'!$B:$B,MATCH(CE26,'Resument Total - Ofertas Proyec'!$D:$D,0)),"")</f>
        <v>SDATOOL-51067</v>
      </c>
      <c r="CC26" s="67" t="str">
        <f t="array" ref="CC26">IFERROR(INDEX('Imputación TR - Proyecto-Quince'!$B:$B,MATCH(CE26,'Imputación TR - Proyecto-Quince'!$C:$C,0)),"")</f>
        <v>CTM Colombia</v>
      </c>
      <c r="CD26" s="58"/>
      <c r="CE26" s="24" t="s">
        <v>45</v>
      </c>
      <c r="CF26" s="57" t="str">
        <f t="shared" si="23"/>
        <v>GoldenSource</v>
      </c>
      <c r="CG26" s="69" t="s">
        <v>83</v>
      </c>
      <c r="CH26" s="64" t="s">
        <v>86</v>
      </c>
      <c r="CI26" s="60" t="str">
        <f t="shared" si="24"/>
        <v>Otras Tecnologías</v>
      </c>
      <c r="CJ26" s="57"/>
      <c r="CK26" s="80"/>
      <c r="CL26" s="80"/>
      <c r="CM26" s="64"/>
      <c r="CN26" s="64"/>
      <c r="CO26" s="64"/>
      <c r="CP26" s="64"/>
      <c r="CQ26" s="64"/>
      <c r="CR26" s="80"/>
      <c r="CS26" s="80"/>
      <c r="CT26" s="64"/>
      <c r="CU26" s="64"/>
      <c r="CV26" s="64"/>
      <c r="CW26" s="64"/>
      <c r="CX26" s="64"/>
      <c r="CY26" s="80"/>
      <c r="CZ26" s="81"/>
      <c r="DA26" s="66"/>
      <c r="DB26" s="55" t="s">
        <v>94</v>
      </c>
      <c r="DC26" s="67" t="str">
        <f t="array" ref="DC26">IFERROR(INDEX('Resument Total - Ofertas Proyec'!$B:$B,MATCH(DF26,'Resument Total - Ofertas Proyec'!$D:$D,0)),"")</f>
        <v>SDATOOL-51067</v>
      </c>
      <c r="DD26" s="67" t="str">
        <f t="array" ref="DD26">IFERROR(INDEX('Imputación TR - Proyecto-Quince'!$B:$B,MATCH(DF26,'Imputación TR - Proyecto-Quince'!$C:$C,0)),"")</f>
        <v>CTM Colombia</v>
      </c>
      <c r="DE26" s="24"/>
      <c r="DF26" s="24" t="s">
        <v>45</v>
      </c>
      <c r="DG26" s="57" t="str">
        <f t="shared" si="46"/>
        <v>GoldenSource</v>
      </c>
      <c r="DH26" s="69" t="s">
        <v>83</v>
      </c>
      <c r="DI26" s="64" t="s">
        <v>86</v>
      </c>
      <c r="DJ26" s="60" t="str">
        <f t="shared" si="39"/>
        <v>Otras Tecnologías</v>
      </c>
      <c r="DK26" s="57">
        <f t="shared" si="28"/>
        <v>20</v>
      </c>
      <c r="DL26" s="64">
        <v>4.0</v>
      </c>
      <c r="DM26" s="64">
        <v>4.0</v>
      </c>
      <c r="DN26" s="64">
        <v>4.0</v>
      </c>
      <c r="DO26" s="64">
        <v>4.0</v>
      </c>
      <c r="DP26" s="64">
        <v>4.0</v>
      </c>
      <c r="DQ26" s="80"/>
      <c r="DR26" s="80"/>
      <c r="DS26" s="83"/>
      <c r="DT26" s="83"/>
      <c r="DU26" s="83"/>
      <c r="DV26" s="83"/>
      <c r="DW26" s="83"/>
      <c r="DX26" s="82"/>
      <c r="DY26" s="82"/>
      <c r="DZ26" s="83"/>
      <c r="EA26" s="66"/>
      <c r="EB26" s="55" t="s">
        <v>94</v>
      </c>
      <c r="EC26" s="67" t="str">
        <f t="array" ref="EC26">IFERROR(INDEX('Resument Total - Ofertas Proyec'!$B:$B,MATCH(EF26,'Resument Total - Ofertas Proyec'!$D:$D,0)),"")</f>
        <v>SDATOOL-51067</v>
      </c>
      <c r="ED26" s="67" t="str">
        <f t="array" ref="ED26">IFERROR(INDEX('Imputación TR - Proyecto-Quince'!$B:$B,MATCH(EF26,'Imputación TR - Proyecto-Quince'!$C:$C,0)),"")</f>
        <v>CTM Colombia</v>
      </c>
      <c r="EE26" s="58"/>
      <c r="EF26" s="10" t="s">
        <v>46</v>
      </c>
      <c r="EG26" s="184" t="str">
        <f t="shared" si="35"/>
        <v>GoldenSource</v>
      </c>
      <c r="EH26" s="69" t="s">
        <v>83</v>
      </c>
      <c r="EI26" s="64" t="s">
        <v>86</v>
      </c>
      <c r="EJ26" s="60" t="str">
        <f t="shared" si="29"/>
        <v>Otras Tecnologías</v>
      </c>
      <c r="EK26" s="85">
        <f t="shared" si="30"/>
        <v>38</v>
      </c>
      <c r="EL26" s="64"/>
      <c r="EM26" s="64">
        <v>4.0</v>
      </c>
      <c r="EN26" s="64">
        <v>4.0</v>
      </c>
      <c r="EO26" s="64">
        <v>4.0</v>
      </c>
      <c r="EP26" s="80"/>
      <c r="EQ26" s="80"/>
      <c r="ER26" s="64">
        <v>4.0</v>
      </c>
      <c r="ES26" s="64">
        <v>4.0</v>
      </c>
      <c r="ET26" s="64">
        <v>4.0</v>
      </c>
      <c r="EU26" s="64">
        <v>4.0</v>
      </c>
      <c r="EV26" s="83">
        <v>2.0</v>
      </c>
      <c r="EW26" s="82"/>
      <c r="EX26" s="82"/>
      <c r="EY26" s="64">
        <v>4.0</v>
      </c>
      <c r="EZ26" s="64">
        <v>4.0</v>
      </c>
    </row>
    <row r="27" ht="18.0" customHeight="1">
      <c r="A27" s="88"/>
      <c r="B27" s="143"/>
      <c r="C27" s="143"/>
      <c r="D27" s="98"/>
      <c r="E27" s="143"/>
      <c r="F27" s="143"/>
      <c r="G27" s="143"/>
      <c r="H27" s="98"/>
      <c r="I27" s="70"/>
      <c r="J27" s="143"/>
      <c r="K27" s="92"/>
      <c r="L27" s="90"/>
      <c r="M27" s="90"/>
      <c r="N27" s="91"/>
      <c r="O27" s="91"/>
      <c r="P27" s="92"/>
      <c r="Q27" s="92"/>
      <c r="R27" s="92"/>
      <c r="S27" s="92"/>
      <c r="T27" s="92"/>
      <c r="U27" s="91"/>
      <c r="V27" s="91"/>
      <c r="W27" s="92"/>
      <c r="X27" s="92"/>
      <c r="Y27" s="93"/>
      <c r="Z27" s="94"/>
      <c r="AA27" s="88"/>
      <c r="AB27" s="143"/>
      <c r="AC27" s="143"/>
      <c r="AD27" s="92"/>
      <c r="AE27" s="76"/>
      <c r="AF27" s="143"/>
      <c r="AG27" s="143"/>
      <c r="AH27" s="98"/>
      <c r="AI27" s="70"/>
      <c r="AJ27" s="143"/>
      <c r="AK27" s="98"/>
      <c r="AL27" s="98"/>
      <c r="AM27" s="97"/>
      <c r="AN27" s="97"/>
      <c r="AO27" s="98"/>
      <c r="AP27" s="98"/>
      <c r="AQ27" s="98"/>
      <c r="AR27" s="98"/>
      <c r="AS27" s="98"/>
      <c r="AT27" s="97"/>
      <c r="AU27" s="97"/>
      <c r="AV27" s="71"/>
      <c r="AW27" s="71"/>
      <c r="AX27" s="71"/>
      <c r="AY27" s="187"/>
      <c r="AZ27" s="94"/>
      <c r="BA27" s="88"/>
      <c r="BB27" s="143"/>
      <c r="BC27" s="143"/>
      <c r="BD27" s="92"/>
      <c r="BE27" s="143"/>
      <c r="BF27" s="143"/>
      <c r="BG27" s="77"/>
      <c r="BH27" s="98"/>
      <c r="BI27" s="70"/>
      <c r="BJ27" s="143"/>
      <c r="BK27" s="99"/>
      <c r="BL27" s="99"/>
      <c r="BM27" s="99"/>
      <c r="BN27" s="92"/>
      <c r="BO27" s="92"/>
      <c r="BP27" s="92"/>
      <c r="BQ27" s="92"/>
      <c r="BR27" s="92"/>
      <c r="BS27" s="99"/>
      <c r="BT27" s="99"/>
      <c r="BU27" s="92"/>
      <c r="BV27" s="92"/>
      <c r="BW27" s="92"/>
      <c r="BX27" s="92"/>
      <c r="BY27" s="92"/>
      <c r="BZ27" s="94"/>
      <c r="CA27" s="88"/>
      <c r="CB27" s="143"/>
      <c r="CC27" s="143"/>
      <c r="CD27" s="92"/>
      <c r="CE27" s="143"/>
      <c r="CF27" s="143"/>
      <c r="CG27" s="143"/>
      <c r="CH27" s="98"/>
      <c r="CI27" s="70"/>
      <c r="CJ27" s="143"/>
      <c r="CK27" s="99"/>
      <c r="CL27" s="99"/>
      <c r="CM27" s="92"/>
      <c r="CN27" s="92"/>
      <c r="CO27" s="92"/>
      <c r="CP27" s="92"/>
      <c r="CQ27" s="92"/>
      <c r="CR27" s="99"/>
      <c r="CS27" s="99"/>
      <c r="CT27" s="92"/>
      <c r="CU27" s="92"/>
      <c r="CV27" s="92"/>
      <c r="CW27" s="92"/>
      <c r="CX27" s="92"/>
      <c r="CY27" s="99"/>
      <c r="CZ27" s="100"/>
      <c r="DA27" s="94"/>
      <c r="DB27" s="88"/>
      <c r="DC27" s="143"/>
      <c r="DD27" s="143"/>
      <c r="DE27" s="46"/>
      <c r="DF27" s="68"/>
      <c r="DG27" s="68"/>
      <c r="DH27" s="75"/>
      <c r="DI27" s="78"/>
      <c r="DJ27" s="70"/>
      <c r="DK27" s="143"/>
      <c r="DL27" s="92"/>
      <c r="DM27" s="92"/>
      <c r="DN27" s="92"/>
      <c r="DO27" s="92"/>
      <c r="DP27" s="92"/>
      <c r="DQ27" s="99"/>
      <c r="DR27" s="99"/>
      <c r="DS27" s="102"/>
      <c r="DT27" s="102"/>
      <c r="DU27" s="102"/>
      <c r="DV27" s="102"/>
      <c r="DW27" s="102"/>
      <c r="DX27" s="145"/>
      <c r="DY27" s="145"/>
      <c r="DZ27" s="102"/>
      <c r="EA27" s="94"/>
      <c r="EB27" s="88"/>
      <c r="EC27" s="76" t="s">
        <v>95</v>
      </c>
      <c r="ED27" s="76" t="s">
        <v>96</v>
      </c>
      <c r="EE27" s="92"/>
      <c r="EF27" s="76" t="s">
        <v>97</v>
      </c>
      <c r="EG27" s="76" t="s">
        <v>98</v>
      </c>
      <c r="EH27" s="76" t="s">
        <v>83</v>
      </c>
      <c r="EI27" s="71" t="s">
        <v>84</v>
      </c>
      <c r="EJ27" s="188" t="s">
        <v>74</v>
      </c>
      <c r="EK27" s="46">
        <f t="shared" si="30"/>
        <v>1</v>
      </c>
      <c r="EL27" s="189">
        <v>1.0</v>
      </c>
      <c r="EM27" s="92"/>
      <c r="EN27" s="92"/>
      <c r="EO27" s="92"/>
      <c r="EP27" s="99"/>
      <c r="EQ27" s="99"/>
      <c r="ER27" s="101"/>
      <c r="ES27" s="101"/>
      <c r="ET27" s="101"/>
      <c r="EU27" s="101"/>
      <c r="EV27" s="101"/>
      <c r="EW27" s="103"/>
      <c r="EX27" s="103"/>
      <c r="EY27" s="101"/>
      <c r="EZ27" s="101"/>
    </row>
    <row r="28" ht="18.0" customHeight="1">
      <c r="A28" s="107"/>
      <c r="B28" s="190" t="str">
        <f t="array" ref="B28">IFERROR(INDEX('Imputación TR - Proyecto-Quince'!$A:$A,MATCH(E28,'Imputación TR - Proyecto-Quince'!$C:$C,0)),"")</f>
        <v/>
      </c>
      <c r="C28" s="190" t="str">
        <f t="array" ref="C28">IFERROR(INDEX('Imputación TR - Proyecto-Quince'!$B:$B,MATCH(E28,'Imputación TR - Proyecto-Quince'!$C:$C,0)),"")</f>
        <v/>
      </c>
      <c r="D28" s="120"/>
      <c r="E28" s="190"/>
      <c r="F28" s="190" t="str">
        <f>IF(I28="Otras Tecnologías","GoldenSource","")</f>
        <v/>
      </c>
      <c r="G28" s="190" t="s">
        <v>82</v>
      </c>
      <c r="H28" s="120"/>
      <c r="I28" s="113" t="str">
        <f>IF(OR(H28="Codificación",H28="Pruebas"),"Otras Tecnologías","-")</f>
        <v>-</v>
      </c>
      <c r="J28" s="190">
        <f t="shared" ref="J28:J36" si="49">SUM(K28:Y28)</f>
        <v>0</v>
      </c>
      <c r="K28" s="116"/>
      <c r="L28" s="114"/>
      <c r="M28" s="114"/>
      <c r="N28" s="115"/>
      <c r="O28" s="115"/>
      <c r="P28" s="116"/>
      <c r="Q28" s="116"/>
      <c r="R28" s="116"/>
      <c r="S28" s="116"/>
      <c r="T28" s="116"/>
      <c r="U28" s="115"/>
      <c r="V28" s="115"/>
      <c r="W28" s="116"/>
      <c r="X28" s="116"/>
      <c r="Y28" s="117"/>
      <c r="Z28" s="94"/>
      <c r="AA28" s="107"/>
      <c r="AB28" s="190" t="str">
        <f t="array" ref="AB28">IFERROR(INDEX('Resument Total - Ofertas Proyec'!$B:$B,MATCH(AE28,'Resument Total - Ofertas Proyec'!$D:$D,0)),"")</f>
        <v/>
      </c>
      <c r="AC28" s="190" t="str">
        <f t="array" ref="AC28">IFERROR(INDEX('Imputación TR - Proyecto-Quince'!$B:$B,MATCH(AE28,'Imputación TR - Proyecto-Quince'!$C:$C,0)),"")</f>
        <v/>
      </c>
      <c r="AD28" s="116"/>
      <c r="AE28" s="190"/>
      <c r="AF28" s="190" t="str">
        <f t="shared" ref="AF28:AF36" si="50">IF(AI28="Otras Tecnologías","GoldenSource","")</f>
        <v/>
      </c>
      <c r="AG28" s="190" t="s">
        <v>82</v>
      </c>
      <c r="AH28" s="120"/>
      <c r="AI28" s="113" t="str">
        <f t="shared" ref="AI28:AI36" si="51">IF(OR(AH28="Codificación",AH28="Pruebas"),"Otras Tecnologías","-")</f>
        <v>-</v>
      </c>
      <c r="AJ28" s="190">
        <f t="shared" ref="AJ28:AJ36" si="52">SUM(AK28:AY28)</f>
        <v>0</v>
      </c>
      <c r="AK28" s="120"/>
      <c r="AL28" s="120"/>
      <c r="AM28" s="121"/>
      <c r="AN28" s="121"/>
      <c r="AO28" s="120"/>
      <c r="AP28" s="120"/>
      <c r="AQ28" s="120"/>
      <c r="AR28" s="120"/>
      <c r="AS28" s="120"/>
      <c r="AT28" s="121"/>
      <c r="AU28" s="121"/>
      <c r="AV28" s="120"/>
      <c r="AW28" s="120"/>
      <c r="AX28" s="120"/>
      <c r="AY28" s="142"/>
      <c r="AZ28" s="94"/>
      <c r="BA28" s="107"/>
      <c r="BB28" s="190" t="str">
        <f t="array" ref="BB28">IFERROR(INDEX('Resument Total - Ofertas Proyec'!$B:$B,MATCH(BE28,'Resument Total - Ofertas Proyec'!$D:$D,0)),"")</f>
        <v/>
      </c>
      <c r="BC28" s="190" t="str">
        <f t="array" ref="BC28">IFERROR(INDEX('Imputación TR - Proyecto-Quince'!$B:$B,MATCH(BE28,'Imputación TR - Proyecto-Quince'!$C:$C,0)),"")</f>
        <v/>
      </c>
      <c r="BD28" s="116"/>
      <c r="BE28" s="190"/>
      <c r="BF28" s="190" t="str">
        <f t="shared" ref="BF28:BF36" si="53">IF(BI28="Otras Tecnologías","GoldenSource","")</f>
        <v/>
      </c>
      <c r="BG28" s="190" t="s">
        <v>82</v>
      </c>
      <c r="BH28" s="120"/>
      <c r="BI28" s="113" t="str">
        <f t="shared" ref="BI28:BI36" si="54">IF(OR(BH28="Codificación",BH28="Pruebas"),"Otras Tecnologías","-")</f>
        <v>-</v>
      </c>
      <c r="BJ28" s="190">
        <f t="shared" ref="BJ28:BJ36" si="55">SUM(BK28:BY28)</f>
        <v>0</v>
      </c>
      <c r="BK28" s="123"/>
      <c r="BL28" s="123"/>
      <c r="BM28" s="123"/>
      <c r="BN28" s="116"/>
      <c r="BO28" s="116"/>
      <c r="BP28" s="116"/>
      <c r="BQ28" s="116"/>
      <c r="BR28" s="116"/>
      <c r="BS28" s="123"/>
      <c r="BT28" s="123"/>
      <c r="BU28" s="116"/>
      <c r="BV28" s="116"/>
      <c r="BW28" s="116"/>
      <c r="BX28" s="116"/>
      <c r="BY28" s="116"/>
      <c r="BZ28" s="94"/>
      <c r="CA28" s="107"/>
      <c r="CB28" s="190" t="str">
        <f t="array" ref="CB28">IFERROR(INDEX('Resument Total - Ofertas Proyec'!$B:$B,MATCH(CE28,'Resument Total - Ofertas Proyec'!$D:$D,0)),"")</f>
        <v/>
      </c>
      <c r="CC28" s="190" t="str">
        <f t="array" ref="CC28">IFERROR(INDEX('Imputación TR - Proyecto-Quince'!$B:$B,MATCH(CE28,'Imputación TR - Proyecto-Quince'!$C:$C,0)),"")</f>
        <v/>
      </c>
      <c r="CD28" s="116"/>
      <c r="CE28" s="190"/>
      <c r="CF28" s="190" t="str">
        <f t="shared" ref="CF28:CF61" si="56">IF(CI28="Otras Tecnologías","GoldenSource","")</f>
        <v/>
      </c>
      <c r="CG28" s="190" t="s">
        <v>82</v>
      </c>
      <c r="CH28" s="120"/>
      <c r="CI28" s="113" t="str">
        <f t="shared" ref="CI28:CI36" si="57">IF(OR(CH28="Codificación",CH28="Pruebas"),"Otras Tecnologías","-")</f>
        <v>-</v>
      </c>
      <c r="CJ28" s="190">
        <f t="shared" ref="CJ28:CJ36" si="58">SUM(CK28:CZ28)</f>
        <v>0</v>
      </c>
      <c r="CK28" s="123"/>
      <c r="CL28" s="123"/>
      <c r="CM28" s="116"/>
      <c r="CN28" s="116"/>
      <c r="CO28" s="116"/>
      <c r="CP28" s="116"/>
      <c r="CQ28" s="116"/>
      <c r="CR28" s="123"/>
      <c r="CS28" s="123"/>
      <c r="CT28" s="116"/>
      <c r="CU28" s="116"/>
      <c r="CV28" s="116"/>
      <c r="CW28" s="116"/>
      <c r="CX28" s="116"/>
      <c r="CY28" s="123"/>
      <c r="CZ28" s="124"/>
      <c r="DA28" s="94"/>
      <c r="DB28" s="107"/>
      <c r="DC28" s="190" t="str">
        <f t="array" ref="DC28">IFERROR(INDEX('Resument Total - Ofertas Proyec'!$B:$B,MATCH(DF28,'Resument Total - Ofertas Proyec'!$D:$D,0)),"")</f>
        <v/>
      </c>
      <c r="DD28" s="190" t="str">
        <f t="array" ref="DD28">IFERROR(INDEX('Imputación TR - Proyecto-Quince'!$B:$B,MATCH(DF28,'Imputación TR - Proyecto-Quince'!$C:$C,0)),"")</f>
        <v/>
      </c>
      <c r="DE28" s="116"/>
      <c r="DF28" s="190"/>
      <c r="DG28" s="190" t="str">
        <f t="shared" ref="DG28:DG61" si="59">IF(DJ28="Otras Tecnologías","GoldenSource","")</f>
        <v/>
      </c>
      <c r="DH28" s="190" t="s">
        <v>82</v>
      </c>
      <c r="DI28" s="120"/>
      <c r="DJ28" s="113" t="str">
        <f t="shared" ref="DJ28:DJ61" si="60">IF(OR(DI28="Codificación",DI28="Pruebas"),"Otras Tecnologías","-")</f>
        <v>-</v>
      </c>
      <c r="DK28" s="190">
        <f t="shared" ref="DK28:DK36" si="61">SUM(DL28:EA28)</f>
        <v>0</v>
      </c>
      <c r="DL28" s="116"/>
      <c r="DM28" s="116"/>
      <c r="DN28" s="116"/>
      <c r="DO28" s="116"/>
      <c r="DP28" s="116"/>
      <c r="DQ28" s="123"/>
      <c r="DR28" s="123"/>
      <c r="DS28" s="125"/>
      <c r="DT28" s="125"/>
      <c r="DU28" s="125"/>
      <c r="DV28" s="125"/>
      <c r="DW28" s="125"/>
      <c r="DX28" s="126"/>
      <c r="DY28" s="126"/>
      <c r="DZ28" s="125"/>
      <c r="EA28" s="94"/>
      <c r="EB28" s="107"/>
      <c r="EC28" s="190" t="str">
        <f t="array" ref="EC28">IFERROR(INDEX('Resument Total - Ofertas Proyec'!$B:$B,MATCH(EF28,'Resument Total - Ofertas Proyec'!$D:$D,0)),"")</f>
        <v/>
      </c>
      <c r="ED28" s="190" t="str">
        <f t="array" ref="ED28">IFERROR(INDEX('Imputación TR - Proyecto-Quince'!$B:$B,MATCH(EF28,'Imputación TR - Proyecto-Quince'!$C:$C,0)),"")</f>
        <v/>
      </c>
      <c r="EE28" s="110" t="s">
        <v>64</v>
      </c>
      <c r="EF28" s="108"/>
      <c r="EG28" s="108" t="s">
        <v>88</v>
      </c>
      <c r="EH28" s="111" t="s">
        <v>80</v>
      </c>
      <c r="EI28" s="112" t="s">
        <v>81</v>
      </c>
      <c r="EJ28" s="113" t="str">
        <f t="shared" ref="EJ28:EJ36" si="62">IF(OR(EI28="Codificación",EI28="Pruebas"),"Otras Tecnologías","-")</f>
        <v>-</v>
      </c>
      <c r="EK28" s="191">
        <f t="shared" si="30"/>
        <v>55</v>
      </c>
      <c r="EL28" s="110">
        <v>9.0</v>
      </c>
      <c r="EM28" s="110">
        <v>5.0</v>
      </c>
      <c r="EN28" s="110">
        <v>5.0</v>
      </c>
      <c r="EO28" s="110">
        <v>2.0</v>
      </c>
      <c r="EP28" s="123"/>
      <c r="EQ28" s="123"/>
      <c r="ER28" s="131">
        <v>5.0</v>
      </c>
      <c r="ES28" s="131">
        <v>5.0</v>
      </c>
      <c r="ET28" s="131">
        <v>5.0</v>
      </c>
      <c r="EU28" s="131">
        <v>5.0</v>
      </c>
      <c r="EV28" s="131">
        <v>4.0</v>
      </c>
      <c r="EW28" s="192"/>
      <c r="EX28" s="192"/>
      <c r="EY28" s="131">
        <v>5.0</v>
      </c>
      <c r="EZ28" s="131">
        <v>5.0</v>
      </c>
    </row>
    <row r="29" ht="18.0" customHeight="1">
      <c r="A29" s="55" t="s">
        <v>99</v>
      </c>
      <c r="B29" s="56" t="str">
        <f t="array" ref="B29">IFERROR(INDEX('Imputación TR - Proyecto-Quince'!$A:$A,MATCH(E29,'Imputación TR - Proyecto-Quince'!$C:$C,0)),"")</f>
        <v/>
      </c>
      <c r="C29" s="56"/>
      <c r="D29" s="57" t="s">
        <v>64</v>
      </c>
      <c r="E29" s="58"/>
      <c r="F29" s="58"/>
      <c r="G29" s="57" t="s">
        <v>80</v>
      </c>
      <c r="H29" s="59" t="s">
        <v>81</v>
      </c>
      <c r="I29" s="60" t="s">
        <v>82</v>
      </c>
      <c r="J29" s="57">
        <f t="shared" si="49"/>
        <v>87</v>
      </c>
      <c r="K29" s="61">
        <v>9.0</v>
      </c>
      <c r="L29" s="62">
        <v>9.0</v>
      </c>
      <c r="M29" s="62"/>
      <c r="N29" s="63"/>
      <c r="O29" s="63"/>
      <c r="P29" s="64">
        <v>9.0</v>
      </c>
      <c r="Q29" s="64">
        <v>9.0</v>
      </c>
      <c r="R29" s="64">
        <v>9.0</v>
      </c>
      <c r="S29" s="64">
        <v>9.0</v>
      </c>
      <c r="T29" s="64">
        <v>6.0</v>
      </c>
      <c r="U29" s="63"/>
      <c r="V29" s="63"/>
      <c r="W29" s="64">
        <v>9.0</v>
      </c>
      <c r="X29" s="64">
        <v>9.0</v>
      </c>
      <c r="Y29" s="65">
        <v>9.0</v>
      </c>
      <c r="Z29" s="66"/>
      <c r="AA29" s="55" t="s">
        <v>99</v>
      </c>
      <c r="AB29" s="143" t="str">
        <f t="array" ref="AB29">IFERROR(INDEX('Resument Total - Ofertas Proyec'!$B:$B,MATCH(AE29,'Resument Total - Ofertas Proyec'!$D:$D,0)),"")</f>
        <v>SDATOOL-49742</v>
      </c>
      <c r="AC29" s="143" t="str">
        <f t="array" ref="AC29">IFERROR(INDEX('Imputación TR - Proyecto-Quince'!$B:$B,MATCH(AE29,'Imputación TR - Proyecto-Quince'!$C:$C,0)),"")</f>
        <v>BRS. Fase 2. Colas MQ + Control M</v>
      </c>
      <c r="AD29" s="68"/>
      <c r="AE29" s="24" t="s">
        <v>33</v>
      </c>
      <c r="AF29" s="75" t="str">
        <f t="shared" si="50"/>
        <v/>
      </c>
      <c r="AG29" s="69" t="s">
        <v>83</v>
      </c>
      <c r="AH29" s="64" t="s">
        <v>81</v>
      </c>
      <c r="AI29" s="70" t="str">
        <f t="shared" si="51"/>
        <v>-</v>
      </c>
      <c r="AJ29" s="75">
        <f t="shared" si="52"/>
        <v>67</v>
      </c>
      <c r="AK29" s="64">
        <v>5.0</v>
      </c>
      <c r="AL29" s="64">
        <v>3.0</v>
      </c>
      <c r="AM29" s="80"/>
      <c r="AN29" s="80"/>
      <c r="AO29" s="64">
        <v>5.0</v>
      </c>
      <c r="AP29" s="64">
        <v>5.0</v>
      </c>
      <c r="AQ29" s="64">
        <v>5.0</v>
      </c>
      <c r="AR29" s="64">
        <v>5.0</v>
      </c>
      <c r="AS29" s="64">
        <v>3.0</v>
      </c>
      <c r="AT29" s="80"/>
      <c r="AU29" s="80"/>
      <c r="AV29" s="64">
        <v>9.0</v>
      </c>
      <c r="AW29" s="64">
        <v>9.0</v>
      </c>
      <c r="AX29" s="64">
        <v>9.0</v>
      </c>
      <c r="AY29" s="64">
        <v>9.0</v>
      </c>
      <c r="AZ29" s="66"/>
      <c r="BA29" s="55" t="s">
        <v>99</v>
      </c>
      <c r="BB29" s="143" t="str">
        <f t="array" ref="BB29">IFERROR(INDEX('Resument Total - Ofertas Proyec'!$B:$B,MATCH(BE29,'Resument Total - Ofertas Proyec'!$D:$D,0)),"")</f>
        <v>SDATOOL-49742</v>
      </c>
      <c r="BC29" s="67" t="str">
        <f t="array" ref="BC29">IFERROR(INDEX('Imputación TR - Proyecto-Quince'!$B:$B,MATCH(BE29,'Imputación TR - Proyecto-Quince'!$C:$C,0)),"")</f>
        <v>BRS. Fase 2. Colas MQ + Control M</v>
      </c>
      <c r="BD29" s="68"/>
      <c r="BE29" s="24" t="s">
        <v>33</v>
      </c>
      <c r="BF29" s="75" t="str">
        <f t="shared" si="53"/>
        <v>GoldenSource</v>
      </c>
      <c r="BG29" s="77" t="s">
        <v>83</v>
      </c>
      <c r="BH29" s="64" t="s">
        <v>84</v>
      </c>
      <c r="BI29" s="70" t="str">
        <f t="shared" si="54"/>
        <v>Otras Tecnologías</v>
      </c>
      <c r="BJ29" s="75">
        <f t="shared" si="55"/>
        <v>48</v>
      </c>
      <c r="BK29" s="80"/>
      <c r="BL29" s="80"/>
      <c r="BM29" s="80"/>
      <c r="BN29" s="64">
        <v>5.0</v>
      </c>
      <c r="BO29" s="64">
        <v>5.0</v>
      </c>
      <c r="BP29" s="64">
        <v>5.0</v>
      </c>
      <c r="BQ29" s="64">
        <v>5.0</v>
      </c>
      <c r="BR29" s="64">
        <v>3.0</v>
      </c>
      <c r="BS29" s="80"/>
      <c r="BT29" s="80"/>
      <c r="BU29" s="64">
        <v>5.0</v>
      </c>
      <c r="BV29" s="64">
        <v>5.0</v>
      </c>
      <c r="BW29" s="64">
        <v>5.0</v>
      </c>
      <c r="BX29" s="64">
        <v>5.0</v>
      </c>
      <c r="BY29" s="64">
        <v>5.0</v>
      </c>
      <c r="BZ29" s="66"/>
      <c r="CA29" s="55" t="s">
        <v>99</v>
      </c>
      <c r="CB29" s="143" t="str">
        <f t="array" ref="CB29">IFERROR(INDEX('Resument Total - Ofertas Proyec'!$B:$B,MATCH(CE29,'Resument Total - Ofertas Proyec'!$D:$D,0)),"")</f>
        <v>SDATOOL-49742</v>
      </c>
      <c r="CC29" s="143" t="str">
        <f t="array" ref="CC29">IFERROR(INDEX('Imputación TR - Proyecto-Quince'!$B:$B,MATCH(CE29,'Imputación TR - Proyecto-Quince'!$C:$C,0)),"")</f>
        <v>BRS. Fase 2. Colas MQ + Control M</v>
      </c>
      <c r="CD29" s="68"/>
      <c r="CE29" s="24" t="s">
        <v>33</v>
      </c>
      <c r="CF29" s="75" t="str">
        <f t="shared" si="56"/>
        <v>GoldenSource</v>
      </c>
      <c r="CG29" s="77" t="s">
        <v>83</v>
      </c>
      <c r="CH29" s="64" t="s">
        <v>86</v>
      </c>
      <c r="CI29" s="70" t="str">
        <f t="shared" si="57"/>
        <v>Otras Tecnologías</v>
      </c>
      <c r="CJ29" s="75">
        <f t="shared" si="58"/>
        <v>46</v>
      </c>
      <c r="CK29" s="80"/>
      <c r="CL29" s="80"/>
      <c r="CM29" s="64">
        <v>5.0</v>
      </c>
      <c r="CN29" s="64">
        <v>5.0</v>
      </c>
      <c r="CO29" s="64">
        <v>5.0</v>
      </c>
      <c r="CP29" s="64">
        <v>5.0</v>
      </c>
      <c r="CQ29" s="64">
        <v>3.0</v>
      </c>
      <c r="CR29" s="80"/>
      <c r="CS29" s="80"/>
      <c r="CT29" s="64">
        <v>5.0</v>
      </c>
      <c r="CU29" s="64">
        <v>5.0</v>
      </c>
      <c r="CV29" s="64">
        <v>5.0</v>
      </c>
      <c r="CW29" s="64">
        <v>5.0</v>
      </c>
      <c r="CX29" s="64">
        <v>3.0</v>
      </c>
      <c r="CY29" s="80"/>
      <c r="CZ29" s="81"/>
      <c r="DA29" s="66"/>
      <c r="DB29" s="55" t="s">
        <v>99</v>
      </c>
      <c r="DC29" s="143" t="str">
        <f t="array" ref="DC29">IFERROR(INDEX('Resument Total - Ofertas Proyec'!$B:$B,MATCH(DF29,'Resument Total - Ofertas Proyec'!$D:$D,0)),"")</f>
        <v>SDATOOL-49742</v>
      </c>
      <c r="DD29" s="143" t="str">
        <f t="array" ref="DD29">IFERROR(INDEX('Imputación TR - Proyecto-Quince'!$B:$B,MATCH(DF29,'Imputación TR - Proyecto-Quince'!$C:$C,0)),"")</f>
        <v>BRS. Fase 2. Colas MQ + Control M</v>
      </c>
      <c r="DE29" s="68"/>
      <c r="DF29" s="24" t="s">
        <v>33</v>
      </c>
      <c r="DG29" s="75" t="str">
        <f t="shared" si="59"/>
        <v>GoldenSource</v>
      </c>
      <c r="DH29" s="77" t="s">
        <v>83</v>
      </c>
      <c r="DI29" s="64" t="s">
        <v>86</v>
      </c>
      <c r="DJ29" s="70" t="str">
        <f t="shared" si="60"/>
        <v>Otras Tecnologías</v>
      </c>
      <c r="DK29" s="75">
        <f t="shared" si="61"/>
        <v>20</v>
      </c>
      <c r="DL29" s="64">
        <v>4.0</v>
      </c>
      <c r="DM29" s="64">
        <v>4.0</v>
      </c>
      <c r="DN29" s="64">
        <v>4.0</v>
      </c>
      <c r="DO29" s="64">
        <v>4.0</v>
      </c>
      <c r="DP29" s="64">
        <v>4.0</v>
      </c>
      <c r="DQ29" s="80"/>
      <c r="DR29" s="80"/>
      <c r="DS29" s="87"/>
      <c r="DT29" s="87"/>
      <c r="DU29" s="87"/>
      <c r="DV29" s="87"/>
      <c r="DW29" s="87"/>
      <c r="DX29" s="82"/>
      <c r="DY29" s="82"/>
      <c r="DZ29" s="87"/>
      <c r="EA29" s="66"/>
      <c r="EB29" s="55" t="s">
        <v>99</v>
      </c>
      <c r="EC29" s="143" t="str">
        <f t="array" ref="EC29">IFERROR(INDEX('Resument Total - Ofertas Proyec'!$B:$B,MATCH(EF29,'Resument Total - Ofertas Proyec'!$D:$D,0)),"")</f>
        <v/>
      </c>
      <c r="ED29" s="143" t="str">
        <f t="array" ref="ED29">IFERROR(INDEX('Imputación TR - Proyecto-Quince'!$B:$B,MATCH(EF29,'Imputación TR - Proyecto-Quince'!$C:$C,0)),"")</f>
        <v/>
      </c>
      <c r="EE29" s="61" t="s">
        <v>64</v>
      </c>
      <c r="EF29" s="184"/>
      <c r="EG29" s="184" t="str">
        <f t="shared" ref="EG29:EG35" si="63">IF(EJ29="Otras Tecnologías","GoldenSource","")</f>
        <v/>
      </c>
      <c r="EH29" s="144" t="s">
        <v>80</v>
      </c>
      <c r="EI29" s="64" t="s">
        <v>81</v>
      </c>
      <c r="EJ29" s="70" t="str">
        <f t="shared" si="62"/>
        <v>-</v>
      </c>
      <c r="EK29" s="57">
        <f t="shared" si="30"/>
        <v>42</v>
      </c>
      <c r="EL29" s="64">
        <v>4.0</v>
      </c>
      <c r="EM29" s="64">
        <v>4.0</v>
      </c>
      <c r="EN29" s="64">
        <v>4.0</v>
      </c>
      <c r="EO29" s="64">
        <v>3.0</v>
      </c>
      <c r="EP29" s="80"/>
      <c r="EQ29" s="80"/>
      <c r="ER29" s="64">
        <v>4.0</v>
      </c>
      <c r="ES29" s="64">
        <v>4.0</v>
      </c>
      <c r="ET29" s="64">
        <v>4.0</v>
      </c>
      <c r="EU29" s="64">
        <v>4.0</v>
      </c>
      <c r="EV29" s="64">
        <v>3.0</v>
      </c>
      <c r="EW29" s="82"/>
      <c r="EX29" s="82"/>
      <c r="EY29" s="83">
        <v>4.0</v>
      </c>
      <c r="EZ29" s="83">
        <v>4.0</v>
      </c>
    </row>
    <row r="30" ht="18.0" customHeight="1">
      <c r="A30" s="88"/>
      <c r="B30" s="98" t="str">
        <f t="array" ref="B30">IFERROR(INDEX('Imputación TR - Proyecto-Quince'!$A:$A,MATCH(E30,'Imputación TR - Proyecto-Quince'!$C:$C,0)),"")</f>
        <v/>
      </c>
      <c r="C30" s="98" t="str">
        <f t="array" ref="C30">IFERROR(INDEX('Imputación TR - Proyecto-Quince'!$B:$B,MATCH(E30,'Imputación TR - Proyecto-Quince'!$C:$C,0)),"")</f>
        <v/>
      </c>
      <c r="D30" s="98"/>
      <c r="E30" s="92"/>
      <c r="F30" s="92" t="str">
        <f t="shared" ref="F30:F31" si="64">IF(I30="Otras Tecnologías","GoldenSource","")</f>
        <v/>
      </c>
      <c r="G30" s="98" t="s">
        <v>82</v>
      </c>
      <c r="H30" s="98"/>
      <c r="I30" s="70" t="str">
        <f t="shared" ref="I30:I31" si="65">IF(OR(H30="Codificación",H30="Pruebas"),"Otras Tecnologías","-")</f>
        <v>-</v>
      </c>
      <c r="J30" s="98">
        <f t="shared" si="49"/>
        <v>0</v>
      </c>
      <c r="K30" s="92"/>
      <c r="L30" s="90"/>
      <c r="M30" s="90"/>
      <c r="N30" s="91"/>
      <c r="O30" s="91"/>
      <c r="P30" s="92"/>
      <c r="Q30" s="92"/>
      <c r="R30" s="92"/>
      <c r="S30" s="92"/>
      <c r="T30" s="92"/>
      <c r="U30" s="91"/>
      <c r="V30" s="91"/>
      <c r="W30" s="92"/>
      <c r="X30" s="92"/>
      <c r="Y30" s="93"/>
      <c r="Z30" s="94"/>
      <c r="AA30" s="88"/>
      <c r="AB30" s="92" t="str">
        <f t="array" ref="AB30">IFERROR(INDEX('Resument Total - Ofertas Proyec'!$B:$B,MATCH(AE30,'Resument Total - Ofertas Proyec'!$D:$D,0)),"")</f>
        <v/>
      </c>
      <c r="AC30" s="92" t="str">
        <f t="array" ref="AC30">IFERROR(INDEX('Imputación TR - Proyecto-Quince'!$B:$B,MATCH(AE30,'Imputación TR - Proyecto-Quince'!$C:$C,0)),"")</f>
        <v/>
      </c>
      <c r="AD30" s="92"/>
      <c r="AE30" s="92"/>
      <c r="AF30" s="92" t="str">
        <f t="shared" si="50"/>
        <v/>
      </c>
      <c r="AG30" s="98" t="s">
        <v>82</v>
      </c>
      <c r="AH30" s="98"/>
      <c r="AI30" s="70" t="str">
        <f t="shared" si="51"/>
        <v>-</v>
      </c>
      <c r="AJ30" s="98">
        <f t="shared" si="52"/>
        <v>0</v>
      </c>
      <c r="AK30" s="98"/>
      <c r="AL30" s="98"/>
      <c r="AM30" s="97"/>
      <c r="AN30" s="97"/>
      <c r="AO30" s="98"/>
      <c r="AP30" s="98"/>
      <c r="AQ30" s="98"/>
      <c r="AR30" s="98"/>
      <c r="AS30" s="98"/>
      <c r="AT30" s="97"/>
      <c r="AU30" s="97"/>
      <c r="AV30" s="98"/>
      <c r="AW30" s="98"/>
      <c r="AX30" s="98"/>
      <c r="AY30" s="137"/>
      <c r="AZ30" s="94"/>
      <c r="BA30" s="88"/>
      <c r="BB30" s="92" t="str">
        <f t="array" ref="BB30">IFERROR(INDEX('Resument Total - Ofertas Proyec'!$B:$B,MATCH(BE30,'Resument Total - Ofertas Proyec'!$D:$D,0)),"")</f>
        <v/>
      </c>
      <c r="BC30" s="92" t="str">
        <f t="array" ref="BC30">IFERROR(INDEX('Imputación TR - Proyecto-Quince'!$B:$B,MATCH(BE30,'Imputación TR - Proyecto-Quince'!$C:$C,0)),"")</f>
        <v/>
      </c>
      <c r="BD30" s="92"/>
      <c r="BE30" s="92"/>
      <c r="BF30" s="92" t="str">
        <f t="shared" si="53"/>
        <v/>
      </c>
      <c r="BG30" s="77"/>
      <c r="BH30" s="98"/>
      <c r="BI30" s="70" t="str">
        <f t="shared" si="54"/>
        <v>-</v>
      </c>
      <c r="BJ30" s="98">
        <f t="shared" si="55"/>
        <v>0</v>
      </c>
      <c r="BK30" s="99"/>
      <c r="BL30" s="99"/>
      <c r="BM30" s="99"/>
      <c r="BN30" s="92"/>
      <c r="BO30" s="92"/>
      <c r="BP30" s="92"/>
      <c r="BQ30" s="92"/>
      <c r="BR30" s="92"/>
      <c r="BS30" s="99"/>
      <c r="BT30" s="99"/>
      <c r="BU30" s="92"/>
      <c r="BV30" s="92"/>
      <c r="BW30" s="92"/>
      <c r="BX30" s="92"/>
      <c r="BY30" s="92"/>
      <c r="BZ30" s="94"/>
      <c r="CA30" s="88"/>
      <c r="CB30" s="92" t="str">
        <f t="array" ref="CB30">IFERROR(INDEX('Resument Total - Ofertas Proyec'!$B:$B,MATCH(CE30,'Resument Total - Ofertas Proyec'!$D:$D,0)),"")</f>
        <v/>
      </c>
      <c r="CC30" s="92" t="str">
        <f t="array" ref="CC30">IFERROR(INDEX('Imputación TR - Proyecto-Quince'!$B:$B,MATCH(CE30,'Imputación TR - Proyecto-Quince'!$C:$C,0)),"")</f>
        <v/>
      </c>
      <c r="CD30" s="92"/>
      <c r="CE30" s="92"/>
      <c r="CF30" s="92" t="str">
        <f t="shared" si="56"/>
        <v/>
      </c>
      <c r="CG30" s="98" t="s">
        <v>82</v>
      </c>
      <c r="CH30" s="98"/>
      <c r="CI30" s="70" t="str">
        <f t="shared" si="57"/>
        <v>-</v>
      </c>
      <c r="CJ30" s="98">
        <f t="shared" si="58"/>
        <v>0</v>
      </c>
      <c r="CK30" s="99"/>
      <c r="CL30" s="99"/>
      <c r="CM30" s="92"/>
      <c r="CN30" s="92"/>
      <c r="CO30" s="92"/>
      <c r="CP30" s="92"/>
      <c r="CQ30" s="92"/>
      <c r="CR30" s="99"/>
      <c r="CS30" s="99"/>
      <c r="CT30" s="92"/>
      <c r="CU30" s="92"/>
      <c r="CV30" s="92"/>
      <c r="CW30" s="92"/>
      <c r="CX30" s="92"/>
      <c r="CY30" s="99"/>
      <c r="CZ30" s="100"/>
      <c r="DA30" s="94"/>
      <c r="DB30" s="88"/>
      <c r="DC30" s="92" t="str">
        <f t="array" ref="DC30">IFERROR(INDEX('Resument Total - Ofertas Proyec'!$B:$B,MATCH(DF30,'Resument Total - Ofertas Proyec'!$D:$D,0)),"")</f>
        <v/>
      </c>
      <c r="DD30" s="92" t="str">
        <f t="array" ref="DD30">IFERROR(INDEX('Imputación TR - Proyecto-Quince'!$B:$B,MATCH(DF30,'Imputación TR - Proyecto-Quince'!$C:$C,0)),"")</f>
        <v/>
      </c>
      <c r="DE30" s="46" t="s">
        <v>64</v>
      </c>
      <c r="DF30" s="68"/>
      <c r="DG30" s="68" t="str">
        <f t="shared" si="59"/>
        <v/>
      </c>
      <c r="DH30" s="75" t="s">
        <v>80</v>
      </c>
      <c r="DI30" s="78" t="s">
        <v>81</v>
      </c>
      <c r="DJ30" s="70" t="str">
        <f t="shared" si="60"/>
        <v>-</v>
      </c>
      <c r="DK30" s="98">
        <f t="shared" si="61"/>
        <v>23</v>
      </c>
      <c r="DL30" s="92"/>
      <c r="DM30" s="92"/>
      <c r="DN30" s="92"/>
      <c r="DO30" s="92"/>
      <c r="DP30" s="92"/>
      <c r="DQ30" s="99"/>
      <c r="DR30" s="99"/>
      <c r="DS30" s="102">
        <v>4.0</v>
      </c>
      <c r="DT30" s="102">
        <v>4.0</v>
      </c>
      <c r="DU30" s="102">
        <v>4.0</v>
      </c>
      <c r="DV30" s="102">
        <v>4.0</v>
      </c>
      <c r="DW30" s="102">
        <v>3.0</v>
      </c>
      <c r="DX30" s="103"/>
      <c r="DY30" s="103"/>
      <c r="DZ30" s="102">
        <v>4.0</v>
      </c>
      <c r="EA30" s="94"/>
      <c r="EB30" s="88"/>
      <c r="EC30" s="92" t="str">
        <f t="array" ref="EC30">IFERROR(INDEX('Resument Total - Ofertas Proyec'!$B:$B,MATCH(EF30,'Resument Total - Ofertas Proyec'!$D:$D,0)),"")</f>
        <v/>
      </c>
      <c r="ED30" s="92" t="str">
        <f t="array" ref="ED30">IFERROR(INDEX('Imputación TR - Proyecto-Quince'!$B:$B,MATCH(EF30,'Imputación TR - Proyecto-Quince'!$C:$C,0)),"")</f>
        <v/>
      </c>
      <c r="EE30" s="92"/>
      <c r="EF30" s="92"/>
      <c r="EG30" s="92" t="str">
        <f t="shared" si="63"/>
        <v/>
      </c>
      <c r="EH30" s="98" t="s">
        <v>82</v>
      </c>
      <c r="EI30" s="98"/>
      <c r="EJ30" s="70" t="str">
        <f t="shared" si="62"/>
        <v>-</v>
      </c>
      <c r="EK30" s="98">
        <f t="shared" si="30"/>
        <v>0</v>
      </c>
      <c r="EL30" s="92"/>
      <c r="EM30" s="92"/>
      <c r="EN30" s="92"/>
      <c r="EO30" s="92"/>
      <c r="EP30" s="99"/>
      <c r="EQ30" s="99"/>
      <c r="ER30" s="101"/>
      <c r="ES30" s="101"/>
      <c r="ET30" s="101"/>
      <c r="EU30" s="101"/>
      <c r="EV30" s="101"/>
      <c r="EW30" s="103"/>
      <c r="EX30" s="103"/>
      <c r="EY30" s="101"/>
      <c r="EZ30" s="101"/>
    </row>
    <row r="31" ht="18.0" customHeight="1">
      <c r="A31" s="107"/>
      <c r="B31" s="120" t="str">
        <f t="array" ref="B31">IFERROR(INDEX('Imputación TR - Proyecto-Quince'!$A:$A,MATCH(E31,'Imputación TR - Proyecto-Quince'!$C:$C,0)),"")</f>
        <v/>
      </c>
      <c r="C31" s="120" t="str">
        <f t="array" ref="C31">IFERROR(INDEX('Imputación TR - Proyecto-Quince'!$B:$B,MATCH(E31,'Imputación TR - Proyecto-Quince'!$C:$C,0)),"")</f>
        <v/>
      </c>
      <c r="D31" s="120"/>
      <c r="E31" s="116"/>
      <c r="F31" s="116" t="str">
        <f t="shared" si="64"/>
        <v/>
      </c>
      <c r="G31" s="120" t="s">
        <v>82</v>
      </c>
      <c r="H31" s="116"/>
      <c r="I31" s="113" t="str">
        <f t="shared" si="65"/>
        <v>-</v>
      </c>
      <c r="J31" s="120">
        <f t="shared" si="49"/>
        <v>0</v>
      </c>
      <c r="K31" s="116"/>
      <c r="L31" s="114"/>
      <c r="M31" s="114"/>
      <c r="N31" s="115"/>
      <c r="O31" s="115"/>
      <c r="P31" s="116"/>
      <c r="Q31" s="116"/>
      <c r="R31" s="116"/>
      <c r="S31" s="116"/>
      <c r="T31" s="116"/>
      <c r="U31" s="115"/>
      <c r="V31" s="115"/>
      <c r="W31" s="116"/>
      <c r="X31" s="116"/>
      <c r="Y31" s="117"/>
      <c r="Z31" s="94"/>
      <c r="AA31" s="107"/>
      <c r="AB31" s="116" t="str">
        <f t="array" ref="AB31">IFERROR(INDEX('Resument Total - Ofertas Proyec'!$B:$B,MATCH(AE31,'Resument Total - Ofertas Proyec'!$D:$D,0)),"")</f>
        <v/>
      </c>
      <c r="AC31" s="116" t="str">
        <f t="array" ref="AC31">IFERROR(INDEX('Imputación TR - Proyecto-Quince'!$B:$B,MATCH(AE31,'Imputación TR - Proyecto-Quince'!$C:$C,0)),"")</f>
        <v/>
      </c>
      <c r="AD31" s="116"/>
      <c r="AE31" s="116"/>
      <c r="AF31" s="116" t="str">
        <f t="shared" si="50"/>
        <v/>
      </c>
      <c r="AG31" s="120" t="s">
        <v>82</v>
      </c>
      <c r="AH31" s="116"/>
      <c r="AI31" s="113" t="str">
        <f t="shared" si="51"/>
        <v>-</v>
      </c>
      <c r="AJ31" s="120">
        <f t="shared" si="52"/>
        <v>0</v>
      </c>
      <c r="AK31" s="120"/>
      <c r="AL31" s="120"/>
      <c r="AM31" s="121"/>
      <c r="AN31" s="121"/>
      <c r="AO31" s="120"/>
      <c r="AP31" s="120"/>
      <c r="AQ31" s="120"/>
      <c r="AR31" s="120"/>
      <c r="AS31" s="120"/>
      <c r="AT31" s="121"/>
      <c r="AU31" s="121"/>
      <c r="AV31" s="120"/>
      <c r="AW31" s="120"/>
      <c r="AX31" s="120"/>
      <c r="AY31" s="142"/>
      <c r="AZ31" s="94"/>
      <c r="BA31" s="107"/>
      <c r="BB31" s="116" t="str">
        <f t="array" ref="BB31">IFERROR(INDEX('Resument Total - Ofertas Proyec'!$B:$B,MATCH(BE31,'Resument Total - Ofertas Proyec'!$D:$D,0)),"")</f>
        <v/>
      </c>
      <c r="BC31" s="116" t="str">
        <f t="array" ref="BC31">IFERROR(INDEX('Imputación TR - Proyecto-Quince'!$B:$B,MATCH(BE31,'Imputación TR - Proyecto-Quince'!$C:$C,0)),"")</f>
        <v/>
      </c>
      <c r="BD31" s="116"/>
      <c r="BE31" s="116"/>
      <c r="BF31" s="116" t="str">
        <f t="shared" si="53"/>
        <v/>
      </c>
      <c r="BG31" s="120" t="s">
        <v>82</v>
      </c>
      <c r="BH31" s="116"/>
      <c r="BI31" s="113" t="str">
        <f t="shared" si="54"/>
        <v>-</v>
      </c>
      <c r="BJ31" s="120">
        <f t="shared" si="55"/>
        <v>0</v>
      </c>
      <c r="BK31" s="123"/>
      <c r="BL31" s="123"/>
      <c r="BM31" s="123"/>
      <c r="BN31" s="116"/>
      <c r="BO31" s="116"/>
      <c r="BP31" s="116"/>
      <c r="BQ31" s="116"/>
      <c r="BR31" s="116"/>
      <c r="BS31" s="123"/>
      <c r="BT31" s="123"/>
      <c r="BU31" s="116"/>
      <c r="BV31" s="116"/>
      <c r="BW31" s="116"/>
      <c r="BX31" s="116"/>
      <c r="BY31" s="116"/>
      <c r="BZ31" s="94"/>
      <c r="CA31" s="107"/>
      <c r="CB31" s="116" t="str">
        <f t="array" ref="CB31">IFERROR(INDEX('Resument Total - Ofertas Proyec'!$B:$B,MATCH(CE31,'Resument Total - Ofertas Proyec'!$D:$D,0)),"")</f>
        <v/>
      </c>
      <c r="CC31" s="116" t="str">
        <f t="array" ref="CC31">IFERROR(INDEX('Imputación TR - Proyecto-Quince'!$B:$B,MATCH(CE31,'Imputación TR - Proyecto-Quince'!$C:$C,0)),"")</f>
        <v/>
      </c>
      <c r="CD31" s="116"/>
      <c r="CE31" s="116"/>
      <c r="CF31" s="116" t="str">
        <f t="shared" si="56"/>
        <v/>
      </c>
      <c r="CG31" s="120" t="s">
        <v>82</v>
      </c>
      <c r="CH31" s="116"/>
      <c r="CI31" s="113" t="str">
        <f t="shared" si="57"/>
        <v>-</v>
      </c>
      <c r="CJ31" s="120">
        <f t="shared" si="58"/>
        <v>0</v>
      </c>
      <c r="CK31" s="123"/>
      <c r="CL31" s="123"/>
      <c r="CM31" s="116"/>
      <c r="CN31" s="116"/>
      <c r="CO31" s="116"/>
      <c r="CP31" s="116"/>
      <c r="CQ31" s="116"/>
      <c r="CR31" s="123"/>
      <c r="CS31" s="123"/>
      <c r="CT31" s="116"/>
      <c r="CU31" s="116"/>
      <c r="CV31" s="116"/>
      <c r="CW31" s="116"/>
      <c r="CX31" s="116"/>
      <c r="CY31" s="123"/>
      <c r="CZ31" s="124"/>
      <c r="DA31" s="94"/>
      <c r="DB31" s="107"/>
      <c r="DC31" s="116" t="str">
        <f t="array" ref="DC31">IFERROR(INDEX('Resument Total - Ofertas Proyec'!$B:$B,MATCH(DF31,'Resument Total - Ofertas Proyec'!$D:$D,0)),"")</f>
        <v/>
      </c>
      <c r="DD31" s="116" t="str">
        <f t="array" ref="DD31">IFERROR(INDEX('Imputación TR - Proyecto-Quince'!$B:$B,MATCH(DF31,'Imputación TR - Proyecto-Quince'!$C:$C,0)),"")</f>
        <v/>
      </c>
      <c r="DE31" s="116"/>
      <c r="DF31" s="116"/>
      <c r="DG31" s="116" t="str">
        <f t="shared" si="59"/>
        <v/>
      </c>
      <c r="DH31" s="120" t="s">
        <v>82</v>
      </c>
      <c r="DI31" s="116"/>
      <c r="DJ31" s="113" t="str">
        <f t="shared" si="60"/>
        <v>-</v>
      </c>
      <c r="DK31" s="120">
        <f t="shared" si="61"/>
        <v>0</v>
      </c>
      <c r="DL31" s="116"/>
      <c r="DM31" s="116"/>
      <c r="DN31" s="116"/>
      <c r="DO31" s="116"/>
      <c r="DP31" s="116"/>
      <c r="DQ31" s="123"/>
      <c r="DR31" s="123"/>
      <c r="DS31" s="125"/>
      <c r="DT31" s="125"/>
      <c r="DU31" s="125"/>
      <c r="DV31" s="125"/>
      <c r="DW31" s="125"/>
      <c r="DX31" s="126"/>
      <c r="DY31" s="126"/>
      <c r="DZ31" s="125"/>
      <c r="EA31" s="94"/>
      <c r="EB31" s="107"/>
      <c r="EC31" s="116" t="str">
        <f t="array" ref="EC31">IFERROR(INDEX('Resument Total - Ofertas Proyec'!$B:$B,MATCH(EF31,'Resument Total - Ofertas Proyec'!$D:$D,0)),"")</f>
        <v/>
      </c>
      <c r="ED31" s="116" t="str">
        <f t="array" ref="ED31">IFERROR(INDEX('Imputación TR - Proyecto-Quince'!$B:$B,MATCH(EF31,'Imputación TR - Proyecto-Quince'!$C:$C,0)),"")</f>
        <v/>
      </c>
      <c r="EE31" s="116"/>
      <c r="EF31" s="116"/>
      <c r="EG31" s="116" t="str">
        <f t="shared" si="63"/>
        <v/>
      </c>
      <c r="EH31" s="120" t="s">
        <v>82</v>
      </c>
      <c r="EI31" s="116"/>
      <c r="EJ31" s="113" t="str">
        <f t="shared" si="62"/>
        <v>-</v>
      </c>
      <c r="EK31" s="120">
        <f t="shared" si="30"/>
        <v>0</v>
      </c>
      <c r="EL31" s="116"/>
      <c r="EM31" s="116"/>
      <c r="EN31" s="116"/>
      <c r="EO31" s="116"/>
      <c r="EP31" s="123"/>
      <c r="EQ31" s="123"/>
      <c r="ER31" s="125"/>
      <c r="ES31" s="125"/>
      <c r="ET31" s="125"/>
      <c r="EU31" s="125"/>
      <c r="EV31" s="125"/>
      <c r="EW31" s="126"/>
      <c r="EX31" s="126"/>
      <c r="EY31" s="125"/>
      <c r="EZ31" s="125"/>
    </row>
    <row r="32" ht="18.0" customHeight="1">
      <c r="A32" s="55" t="s">
        <v>100</v>
      </c>
      <c r="B32" s="56" t="str">
        <f t="array" ref="B32">IFERROR(INDEX('Imputación TR - Proyecto-Quince'!$A:$A,MATCH(E32,'Imputación TR - Proyecto-Quince'!$C:$C,0)),"")</f>
        <v/>
      </c>
      <c r="C32" s="56"/>
      <c r="D32" s="57" t="s">
        <v>64</v>
      </c>
      <c r="E32" s="58"/>
      <c r="F32" s="58"/>
      <c r="G32" s="57" t="s">
        <v>80</v>
      </c>
      <c r="H32" s="59" t="s">
        <v>81</v>
      </c>
      <c r="I32" s="60" t="s">
        <v>82</v>
      </c>
      <c r="J32" s="57">
        <f t="shared" si="49"/>
        <v>60</v>
      </c>
      <c r="K32" s="61">
        <v>9.0</v>
      </c>
      <c r="L32" s="62">
        <v>9.0</v>
      </c>
      <c r="M32" s="62"/>
      <c r="N32" s="63"/>
      <c r="O32" s="63"/>
      <c r="P32" s="64">
        <v>9.0</v>
      </c>
      <c r="Q32" s="64">
        <v>9.0</v>
      </c>
      <c r="R32" s="64">
        <v>9.0</v>
      </c>
      <c r="S32" s="64">
        <v>9.0</v>
      </c>
      <c r="T32" s="64">
        <v>6.0</v>
      </c>
      <c r="U32" s="63"/>
      <c r="V32" s="63"/>
      <c r="W32" s="64"/>
      <c r="X32" s="64"/>
      <c r="Y32" s="65"/>
      <c r="Z32" s="66"/>
      <c r="AA32" s="55" t="s">
        <v>100</v>
      </c>
      <c r="AB32" s="67" t="str">
        <f t="array" ref="AB32">IFERROR(INDEX('Resument Total - Ofertas Proyec'!$B:$B,MATCH(AE32,'Resument Total - Ofertas Proyec'!$D:$D,0)),"")</f>
        <v>SDATOOL-42226</v>
      </c>
      <c r="AC32" s="67" t="str">
        <f t="array" ref="AC32">IFERROR(INDEX('Imputación TR - Proyecto-Quince'!$B:$B,MATCH(AE32,'Imputación TR - Proyecto-Quince'!$C:$C,0)),"")</f>
        <v>Strategic Boost Alta y Mantenimiento de Emisiones y Emisores.</v>
      </c>
      <c r="AD32" s="58"/>
      <c r="AE32" s="24" t="s">
        <v>41</v>
      </c>
      <c r="AF32" s="57" t="str">
        <f t="shared" si="50"/>
        <v/>
      </c>
      <c r="AG32" s="69" t="s">
        <v>83</v>
      </c>
      <c r="AH32" s="64" t="s">
        <v>81</v>
      </c>
      <c r="AI32" s="60" t="str">
        <f t="shared" si="51"/>
        <v>-</v>
      </c>
      <c r="AJ32" s="57">
        <f t="shared" si="52"/>
        <v>110</v>
      </c>
      <c r="AK32" s="64">
        <v>10.0</v>
      </c>
      <c r="AL32" s="64">
        <v>10.0</v>
      </c>
      <c r="AM32" s="80"/>
      <c r="AN32" s="80"/>
      <c r="AO32" s="64">
        <v>10.0</v>
      </c>
      <c r="AP32" s="64">
        <v>10.0</v>
      </c>
      <c r="AQ32" s="64">
        <v>10.0</v>
      </c>
      <c r="AR32" s="64">
        <v>10.0</v>
      </c>
      <c r="AS32" s="64">
        <v>10.0</v>
      </c>
      <c r="AT32" s="80"/>
      <c r="AU32" s="80"/>
      <c r="AV32" s="64">
        <v>10.0</v>
      </c>
      <c r="AW32" s="64">
        <v>10.0</v>
      </c>
      <c r="AX32" s="64">
        <v>10.0</v>
      </c>
      <c r="AY32" s="64">
        <v>10.0</v>
      </c>
      <c r="AZ32" s="66"/>
      <c r="BA32" s="55" t="s">
        <v>100</v>
      </c>
      <c r="BB32" s="67" t="str">
        <f t="array" ref="BB32">IFERROR(INDEX('Resument Total - Ofertas Proyec'!$B:$B,MATCH(BE32,'Resument Total - Ofertas Proyec'!$D:$D,0)),"")</f>
        <v>SDATOOL-42226</v>
      </c>
      <c r="BC32" s="67" t="str">
        <f t="array" ref="BC32">IFERROR(INDEX('Imputación TR - Proyecto-Quince'!$B:$B,MATCH(BE32,'Imputación TR - Proyecto-Quince'!$C:$C,0)),"")</f>
        <v>Strategic Boost Alta y Mantenimiento de Emisiones y Emisores.</v>
      </c>
      <c r="BD32" s="58"/>
      <c r="BE32" s="24" t="s">
        <v>41</v>
      </c>
      <c r="BF32" s="57" t="str">
        <f t="shared" si="53"/>
        <v>GoldenSource</v>
      </c>
      <c r="BG32" s="77" t="s">
        <v>83</v>
      </c>
      <c r="BH32" s="64" t="s">
        <v>84</v>
      </c>
      <c r="BI32" s="60" t="str">
        <f t="shared" si="54"/>
        <v>Otras Tecnologías</v>
      </c>
      <c r="BJ32" s="57">
        <f t="shared" si="55"/>
        <v>50</v>
      </c>
      <c r="BK32" s="80"/>
      <c r="BL32" s="80"/>
      <c r="BM32" s="80"/>
      <c r="BN32" s="64">
        <v>5.0</v>
      </c>
      <c r="BO32" s="64">
        <v>5.0</v>
      </c>
      <c r="BP32" s="64">
        <v>5.0</v>
      </c>
      <c r="BQ32" s="64">
        <v>5.0</v>
      </c>
      <c r="BR32" s="64">
        <v>5.0</v>
      </c>
      <c r="BS32" s="80"/>
      <c r="BT32" s="80"/>
      <c r="BU32" s="64">
        <v>5.0</v>
      </c>
      <c r="BV32" s="64">
        <v>5.0</v>
      </c>
      <c r="BW32" s="64">
        <v>5.0</v>
      </c>
      <c r="BX32" s="64">
        <v>5.0</v>
      </c>
      <c r="BY32" s="64">
        <v>5.0</v>
      </c>
      <c r="BZ32" s="66"/>
      <c r="CA32" s="55" t="s">
        <v>100</v>
      </c>
      <c r="CB32" s="67" t="str">
        <f t="array" ref="CB32">IFERROR(INDEX('Resument Total - Ofertas Proyec'!$B:$B,MATCH(CE32,'Resument Total - Ofertas Proyec'!$D:$D,0)),"")</f>
        <v>SDATOOL-38779</v>
      </c>
      <c r="CC32" s="67" t="str">
        <f t="array" ref="CC32">IFERROR(INDEX('Imputación TR - Proyecto-Quince'!$B:$B,MATCH(CE32,'Imputación TR - Proyecto-Quince'!$C:$C,0)),"")</f>
        <v>Sec Lending_Sponsored Repo</v>
      </c>
      <c r="CD32" s="58"/>
      <c r="CE32" s="25" t="s">
        <v>54</v>
      </c>
      <c r="CF32" s="57" t="str">
        <f t="shared" si="56"/>
        <v>GoldenSource</v>
      </c>
      <c r="CG32" s="69" t="s">
        <v>83</v>
      </c>
      <c r="CH32" s="64" t="s">
        <v>84</v>
      </c>
      <c r="CI32" s="60" t="str">
        <f t="shared" si="57"/>
        <v>Otras Tecnologías</v>
      </c>
      <c r="CJ32" s="57">
        <f t="shared" si="58"/>
        <v>100</v>
      </c>
      <c r="CK32" s="80"/>
      <c r="CL32" s="80"/>
      <c r="CM32" s="64">
        <v>10.0</v>
      </c>
      <c r="CN32" s="64">
        <v>10.0</v>
      </c>
      <c r="CO32" s="64">
        <v>10.0</v>
      </c>
      <c r="CP32" s="64">
        <v>10.0</v>
      </c>
      <c r="CQ32" s="64">
        <v>10.0</v>
      </c>
      <c r="CR32" s="80"/>
      <c r="CS32" s="80"/>
      <c r="CT32" s="64">
        <v>10.0</v>
      </c>
      <c r="CU32" s="64">
        <v>10.0</v>
      </c>
      <c r="CV32" s="64">
        <v>10.0</v>
      </c>
      <c r="CW32" s="64">
        <v>10.0</v>
      </c>
      <c r="CX32" s="64">
        <v>10.0</v>
      </c>
      <c r="CY32" s="80"/>
      <c r="CZ32" s="81"/>
      <c r="DA32" s="66"/>
      <c r="DB32" s="55" t="s">
        <v>100</v>
      </c>
      <c r="DC32" s="67" t="str">
        <f t="array" ref="DC32">IFERROR(INDEX('Resument Total - Ofertas Proyec'!$B:$B,MATCH(DF32,'Resument Total - Ofertas Proyec'!$D:$D,0)),"")</f>
        <v>SDATOOL-38779</v>
      </c>
      <c r="DD32" s="67" t="str">
        <f t="array" ref="DD32">IFERROR(INDEX('Imputación TR - Proyecto-Quince'!$B:$B,MATCH(DF32,'Imputación TR - Proyecto-Quince'!$C:$C,0)),"")</f>
        <v>Sec Lending_Sponsored Repo</v>
      </c>
      <c r="DE32" s="58"/>
      <c r="DF32" s="10" t="s">
        <v>55</v>
      </c>
      <c r="DG32" s="57" t="str">
        <f t="shared" si="59"/>
        <v>GoldenSource</v>
      </c>
      <c r="DH32" s="69" t="s">
        <v>83</v>
      </c>
      <c r="DI32" s="64" t="s">
        <v>86</v>
      </c>
      <c r="DJ32" s="60" t="str">
        <f t="shared" si="60"/>
        <v>Otras Tecnologías</v>
      </c>
      <c r="DK32" s="57">
        <f t="shared" si="61"/>
        <v>50</v>
      </c>
      <c r="DL32" s="64">
        <v>10.0</v>
      </c>
      <c r="DM32" s="64">
        <v>10.0</v>
      </c>
      <c r="DN32" s="64">
        <v>10.0</v>
      </c>
      <c r="DO32" s="64">
        <v>10.0</v>
      </c>
      <c r="DP32" s="64">
        <v>10.0</v>
      </c>
      <c r="DQ32" s="80"/>
      <c r="DR32" s="80"/>
      <c r="DS32" s="87"/>
      <c r="DT32" s="87"/>
      <c r="DU32" s="87"/>
      <c r="DV32" s="87"/>
      <c r="DW32" s="87"/>
      <c r="DX32" s="82"/>
      <c r="DY32" s="82"/>
      <c r="DZ32" s="87"/>
      <c r="EA32" s="66"/>
      <c r="EB32" s="55" t="s">
        <v>100</v>
      </c>
      <c r="EC32" s="67" t="str">
        <f t="array" ref="EC32">IFERROR(INDEX('Resument Total - Ofertas Proyec'!$B:$B,MATCH(EF32,'Resument Total - Ofertas Proyec'!$D:$D,0)),"")</f>
        <v/>
      </c>
      <c r="ED32" s="67" t="str">
        <f t="array" ref="ED32">IFERROR(INDEX('Imputación TR - Proyecto-Quince'!$B:$B,MATCH(EF32,'Imputación TR - Proyecto-Quince'!$C:$C,0)),"")</f>
        <v/>
      </c>
      <c r="EE32" s="61" t="s">
        <v>64</v>
      </c>
      <c r="EF32" s="184"/>
      <c r="EG32" s="184" t="str">
        <f t="shared" si="63"/>
        <v/>
      </c>
      <c r="EH32" s="144" t="s">
        <v>80</v>
      </c>
      <c r="EI32" s="64" t="s">
        <v>81</v>
      </c>
      <c r="EJ32" s="70" t="str">
        <f t="shared" si="62"/>
        <v>-</v>
      </c>
      <c r="EK32" s="57">
        <f t="shared" si="30"/>
        <v>93</v>
      </c>
      <c r="EL32" s="64">
        <v>9.0</v>
      </c>
      <c r="EM32" s="64">
        <v>9.0</v>
      </c>
      <c r="EN32" s="64">
        <v>9.0</v>
      </c>
      <c r="EO32" s="64">
        <v>6.0</v>
      </c>
      <c r="EP32" s="80"/>
      <c r="EQ32" s="80"/>
      <c r="ER32" s="83">
        <v>9.0</v>
      </c>
      <c r="ES32" s="83">
        <v>9.0</v>
      </c>
      <c r="ET32" s="83">
        <v>9.0</v>
      </c>
      <c r="EU32" s="83">
        <v>9.0</v>
      </c>
      <c r="EV32" s="83">
        <v>6.0</v>
      </c>
      <c r="EW32" s="82"/>
      <c r="EX32" s="82"/>
      <c r="EY32" s="83">
        <v>9.0</v>
      </c>
      <c r="EZ32" s="83">
        <v>9.0</v>
      </c>
    </row>
    <row r="33" ht="18.0" customHeight="1">
      <c r="A33" s="88"/>
      <c r="B33" s="98" t="str">
        <f t="array" ref="B33">IFERROR(INDEX('Imputación TR - Proyecto-Quince'!$A:$A,MATCH(E33,'Imputación TR - Proyecto-Quince'!$C:$C,0)),"")</f>
        <v>SDATOOL-51827</v>
      </c>
      <c r="C33" s="98" t="str">
        <f t="array" ref="C33">IFERROR(INDEX('Imputación TR - Proyecto-Quince'!$B:$B,MATCH(E33,'Imputación TR - Proyecto-Quince'!$C:$C,0)),"")</f>
        <v>Eventos Corporativos</v>
      </c>
      <c r="D33" s="98"/>
      <c r="E33" s="76" t="s">
        <v>51</v>
      </c>
      <c r="F33" s="92" t="str">
        <f t="shared" ref="F33:F34" si="66">IF(I33="Otras Tecnologías","GoldenSource","")</f>
        <v/>
      </c>
      <c r="G33" s="71" t="s">
        <v>83</v>
      </c>
      <c r="H33" s="71" t="s">
        <v>81</v>
      </c>
      <c r="I33" s="70" t="str">
        <f t="shared" ref="I33:I34" si="67">IF(OR(H33="Codificación",H33="Pruebas"),"Otras Tecnologías","-")</f>
        <v>-</v>
      </c>
      <c r="J33" s="98">
        <f t="shared" si="49"/>
        <v>45</v>
      </c>
      <c r="K33" s="92"/>
      <c r="L33" s="90"/>
      <c r="M33" s="90"/>
      <c r="N33" s="91"/>
      <c r="O33" s="91"/>
      <c r="P33" s="92"/>
      <c r="Q33" s="92"/>
      <c r="R33" s="92"/>
      <c r="S33" s="92"/>
      <c r="T33" s="92"/>
      <c r="U33" s="91"/>
      <c r="V33" s="91"/>
      <c r="W33" s="89">
        <v>15.0</v>
      </c>
      <c r="X33" s="89">
        <v>15.0</v>
      </c>
      <c r="Y33" s="186">
        <v>15.0</v>
      </c>
      <c r="Z33" s="94"/>
      <c r="AA33" s="88"/>
      <c r="AB33" s="92" t="str">
        <f t="array" ref="AB33">IFERROR(INDEX('Resument Total - Ofertas Proyec'!$B:$B,MATCH(AE33,'Resument Total - Ofertas Proyec'!$D:$D,0)),"")</f>
        <v/>
      </c>
      <c r="AC33" s="92" t="str">
        <f t="array" ref="AC33">IFERROR(INDEX('Imputación TR - Proyecto-Quince'!$B:$B,MATCH(AE33,'Imputación TR - Proyecto-Quince'!$C:$C,0)),"")</f>
        <v/>
      </c>
      <c r="AD33" s="92"/>
      <c r="AE33" s="92"/>
      <c r="AF33" s="92" t="str">
        <f t="shared" si="50"/>
        <v/>
      </c>
      <c r="AG33" s="98" t="s">
        <v>82</v>
      </c>
      <c r="AH33" s="98"/>
      <c r="AI33" s="70" t="str">
        <f t="shared" si="51"/>
        <v>-</v>
      </c>
      <c r="AJ33" s="98">
        <f t="shared" si="52"/>
        <v>0</v>
      </c>
      <c r="AK33" s="98"/>
      <c r="AL33" s="98"/>
      <c r="AM33" s="97"/>
      <c r="AN33" s="97"/>
      <c r="AO33" s="98"/>
      <c r="AP33" s="98"/>
      <c r="AQ33" s="98"/>
      <c r="AR33" s="98"/>
      <c r="AS33" s="98"/>
      <c r="AT33" s="97"/>
      <c r="AU33" s="97"/>
      <c r="AV33" s="98"/>
      <c r="AW33" s="98"/>
      <c r="AX33" s="98"/>
      <c r="AY33" s="137"/>
      <c r="AZ33" s="94"/>
      <c r="BA33" s="88"/>
      <c r="BB33" s="92" t="str">
        <f t="array" ref="BB33">IFERROR(INDEX('Resument Total - Ofertas Proyec'!$B:$B,MATCH(BE33,'Resument Total - Ofertas Proyec'!$D:$D,0)),"")</f>
        <v>SDATOOL-51827</v>
      </c>
      <c r="BC33" s="92" t="str">
        <f t="array" ref="BC33">IFERROR(INDEX('Imputación TR - Proyecto-Quince'!$B:$B,MATCH(BE33,'Imputación TR - Proyecto-Quince'!$C:$C,0)),"")</f>
        <v>Eventos Corporativos</v>
      </c>
      <c r="BD33" s="92"/>
      <c r="BE33" s="76" t="s">
        <v>51</v>
      </c>
      <c r="BF33" s="92" t="str">
        <f t="shared" si="53"/>
        <v>GoldenSource</v>
      </c>
      <c r="BG33" s="77" t="s">
        <v>83</v>
      </c>
      <c r="BH33" s="71" t="s">
        <v>84</v>
      </c>
      <c r="BI33" s="70" t="str">
        <f t="shared" si="54"/>
        <v>Otras Tecnologías</v>
      </c>
      <c r="BJ33" s="98">
        <f t="shared" si="55"/>
        <v>100</v>
      </c>
      <c r="BK33" s="99"/>
      <c r="BL33" s="99"/>
      <c r="BM33" s="99"/>
      <c r="BN33" s="89">
        <v>10.0</v>
      </c>
      <c r="BO33" s="89">
        <v>10.0</v>
      </c>
      <c r="BP33" s="89">
        <v>10.0</v>
      </c>
      <c r="BQ33" s="89">
        <v>10.0</v>
      </c>
      <c r="BR33" s="89">
        <v>10.0</v>
      </c>
      <c r="BS33" s="99"/>
      <c r="BT33" s="99"/>
      <c r="BU33" s="89">
        <v>10.0</v>
      </c>
      <c r="BV33" s="89">
        <v>10.0</v>
      </c>
      <c r="BW33" s="89">
        <v>10.0</v>
      </c>
      <c r="BX33" s="89">
        <v>10.0</v>
      </c>
      <c r="BY33" s="89">
        <v>10.0</v>
      </c>
      <c r="BZ33" s="94"/>
      <c r="CA33" s="88"/>
      <c r="CB33" s="92" t="str">
        <f t="array" ref="CB33">IFERROR(INDEX('Resument Total - Ofertas Proyec'!$B:$B,MATCH(CE33,'Resument Total - Ofertas Proyec'!$D:$D,0)),"")</f>
        <v/>
      </c>
      <c r="CC33" s="92" t="str">
        <f t="array" ref="CC33">IFERROR(INDEX('Imputación TR - Proyecto-Quince'!$B:$B,MATCH(CE33,'Imputación TR - Proyecto-Quince'!$C:$C,0)),"")</f>
        <v/>
      </c>
      <c r="CD33" s="92"/>
      <c r="CE33" s="92"/>
      <c r="CF33" s="92" t="str">
        <f t="shared" si="56"/>
        <v/>
      </c>
      <c r="CG33" s="98" t="s">
        <v>82</v>
      </c>
      <c r="CH33" s="98"/>
      <c r="CI33" s="70" t="str">
        <f t="shared" si="57"/>
        <v>-</v>
      </c>
      <c r="CJ33" s="98">
        <f t="shared" si="58"/>
        <v>0</v>
      </c>
      <c r="CK33" s="99"/>
      <c r="CL33" s="99"/>
      <c r="CM33" s="92"/>
      <c r="CN33" s="92"/>
      <c r="CO33" s="92"/>
      <c r="CP33" s="92"/>
      <c r="CQ33" s="92"/>
      <c r="CR33" s="99"/>
      <c r="CS33" s="99"/>
      <c r="CT33" s="92"/>
      <c r="CU33" s="92"/>
      <c r="CV33" s="92"/>
      <c r="CW33" s="92"/>
      <c r="CX33" s="92"/>
      <c r="CY33" s="99"/>
      <c r="CZ33" s="100"/>
      <c r="DA33" s="94"/>
      <c r="DB33" s="88"/>
      <c r="DC33" s="92" t="str">
        <f t="array" ref="DC33">IFERROR(INDEX('Resument Total - Ofertas Proyec'!$B:$B,MATCH(DF33,'Resument Total - Ofertas Proyec'!$D:$D,0)),"")</f>
        <v/>
      </c>
      <c r="DD33" s="92" t="str">
        <f t="array" ref="DD33">IFERROR(INDEX('Imputación TR - Proyecto-Quince'!$B:$B,MATCH(DF33,'Imputación TR - Proyecto-Quince'!$C:$C,0)),"")</f>
        <v/>
      </c>
      <c r="DE33" s="46" t="s">
        <v>64</v>
      </c>
      <c r="DF33" s="68"/>
      <c r="DG33" s="68" t="str">
        <f t="shared" si="59"/>
        <v/>
      </c>
      <c r="DH33" s="75" t="s">
        <v>80</v>
      </c>
      <c r="DI33" s="78" t="s">
        <v>81</v>
      </c>
      <c r="DJ33" s="70" t="str">
        <f t="shared" si="60"/>
        <v>-</v>
      </c>
      <c r="DK33" s="98">
        <f t="shared" si="61"/>
        <v>51</v>
      </c>
      <c r="DL33" s="92"/>
      <c r="DM33" s="92"/>
      <c r="DN33" s="92"/>
      <c r="DO33" s="92"/>
      <c r="DP33" s="92"/>
      <c r="DQ33" s="99"/>
      <c r="DR33" s="99"/>
      <c r="DS33" s="102">
        <v>9.0</v>
      </c>
      <c r="DT33" s="102">
        <v>9.0</v>
      </c>
      <c r="DU33" s="102">
        <v>9.0</v>
      </c>
      <c r="DV33" s="102">
        <v>9.0</v>
      </c>
      <c r="DW33" s="102">
        <v>6.0</v>
      </c>
      <c r="DX33" s="103"/>
      <c r="DY33" s="103"/>
      <c r="DZ33" s="102">
        <v>9.0</v>
      </c>
      <c r="EA33" s="94"/>
      <c r="EB33" s="88"/>
      <c r="EC33" s="92" t="str">
        <f t="array" ref="EC33">IFERROR(INDEX('Resument Total - Ofertas Proyec'!$B:$B,MATCH(EF33,'Resument Total - Ofertas Proyec'!$D:$D,0)),"")</f>
        <v/>
      </c>
      <c r="ED33" s="92" t="str">
        <f t="array" ref="ED33">IFERROR(INDEX('Imputación TR - Proyecto-Quince'!$B:$B,MATCH(EF33,'Imputación TR - Proyecto-Quince'!$C:$C,0)),"")</f>
        <v/>
      </c>
      <c r="EE33" s="92"/>
      <c r="EF33" s="92"/>
      <c r="EG33" s="92" t="str">
        <f t="shared" si="63"/>
        <v/>
      </c>
      <c r="EH33" s="98" t="s">
        <v>82</v>
      </c>
      <c r="EI33" s="98"/>
      <c r="EJ33" s="70" t="str">
        <f t="shared" si="62"/>
        <v>-</v>
      </c>
      <c r="EK33" s="98">
        <f t="shared" si="30"/>
        <v>0</v>
      </c>
      <c r="EL33" s="92"/>
      <c r="EM33" s="92"/>
      <c r="EN33" s="92"/>
      <c r="EO33" s="92"/>
      <c r="EP33" s="99"/>
      <c r="EQ33" s="99"/>
      <c r="ER33" s="101"/>
      <c r="ES33" s="101"/>
      <c r="ET33" s="101"/>
      <c r="EU33" s="101"/>
      <c r="EV33" s="101"/>
      <c r="EW33" s="103"/>
      <c r="EX33" s="103"/>
      <c r="EY33" s="101"/>
      <c r="EZ33" s="101"/>
    </row>
    <row r="34" ht="18.0" customHeight="1">
      <c r="A34" s="107"/>
      <c r="B34" s="120" t="str">
        <f t="array" ref="B34">IFERROR(INDEX('Imputación TR - Proyecto-Quince'!$A:$A,MATCH(E34,'Imputación TR - Proyecto-Quince'!$C:$C,0)),"")</f>
        <v/>
      </c>
      <c r="C34" s="120" t="str">
        <f t="array" ref="C34">IFERROR(INDEX('Imputación TR - Proyecto-Quince'!$B:$B,MATCH(E34,'Imputación TR - Proyecto-Quince'!$C:$C,0)),"")</f>
        <v/>
      </c>
      <c r="D34" s="120"/>
      <c r="E34" s="116"/>
      <c r="F34" s="116" t="str">
        <f t="shared" si="66"/>
        <v/>
      </c>
      <c r="G34" s="120" t="s">
        <v>82</v>
      </c>
      <c r="H34" s="120"/>
      <c r="I34" s="113" t="str">
        <f t="shared" si="67"/>
        <v>-</v>
      </c>
      <c r="J34" s="120">
        <f t="shared" si="49"/>
        <v>0</v>
      </c>
      <c r="K34" s="116"/>
      <c r="L34" s="114"/>
      <c r="M34" s="114"/>
      <c r="N34" s="115"/>
      <c r="O34" s="115"/>
      <c r="P34" s="116"/>
      <c r="Q34" s="116"/>
      <c r="R34" s="116"/>
      <c r="S34" s="116"/>
      <c r="T34" s="116"/>
      <c r="U34" s="115"/>
      <c r="V34" s="115"/>
      <c r="W34" s="116"/>
      <c r="X34" s="116"/>
      <c r="Y34" s="117"/>
      <c r="Z34" s="94"/>
      <c r="AA34" s="107"/>
      <c r="AB34" s="116" t="str">
        <f t="array" ref="AB34">IFERROR(INDEX('Resument Total - Ofertas Proyec'!$B:$B,MATCH(AE34,'Resument Total - Ofertas Proyec'!$D:$D,0)),"")</f>
        <v/>
      </c>
      <c r="AC34" s="116" t="str">
        <f t="array" ref="AC34">IFERROR(INDEX('Imputación TR - Proyecto-Quince'!$B:$B,MATCH(AE34,'Imputación TR - Proyecto-Quince'!$C:$C,0)),"")</f>
        <v/>
      </c>
      <c r="AD34" s="116"/>
      <c r="AE34" s="116"/>
      <c r="AF34" s="116" t="str">
        <f t="shared" si="50"/>
        <v/>
      </c>
      <c r="AG34" s="120" t="s">
        <v>82</v>
      </c>
      <c r="AH34" s="120"/>
      <c r="AI34" s="113" t="str">
        <f t="shared" si="51"/>
        <v>-</v>
      </c>
      <c r="AJ34" s="120">
        <f t="shared" si="52"/>
        <v>0</v>
      </c>
      <c r="AK34" s="120"/>
      <c r="AL34" s="120"/>
      <c r="AM34" s="121"/>
      <c r="AN34" s="121"/>
      <c r="AO34" s="120"/>
      <c r="AP34" s="120"/>
      <c r="AQ34" s="120"/>
      <c r="AR34" s="120"/>
      <c r="AS34" s="120"/>
      <c r="AT34" s="121"/>
      <c r="AU34" s="121"/>
      <c r="AV34" s="120"/>
      <c r="AW34" s="120"/>
      <c r="AX34" s="120"/>
      <c r="AY34" s="142"/>
      <c r="AZ34" s="94"/>
      <c r="BA34" s="107"/>
      <c r="BB34" s="116" t="str">
        <f t="array" ref="BB34">IFERROR(INDEX('Resument Total - Ofertas Proyec'!$B:$B,MATCH(BE34,'Resument Total - Ofertas Proyec'!$D:$D,0)),"")</f>
        <v/>
      </c>
      <c r="BC34" s="116" t="str">
        <f t="array" ref="BC34">IFERROR(INDEX('Imputación TR - Proyecto-Quince'!$B:$B,MATCH(BE34,'Imputación TR - Proyecto-Quince'!$C:$C,0)),"")</f>
        <v/>
      </c>
      <c r="BD34" s="116"/>
      <c r="BE34" s="116"/>
      <c r="BF34" s="116" t="str">
        <f t="shared" si="53"/>
        <v/>
      </c>
      <c r="BG34" s="120" t="s">
        <v>82</v>
      </c>
      <c r="BH34" s="120"/>
      <c r="BI34" s="113" t="str">
        <f t="shared" si="54"/>
        <v>-</v>
      </c>
      <c r="BJ34" s="120">
        <f t="shared" si="55"/>
        <v>0</v>
      </c>
      <c r="BK34" s="123"/>
      <c r="BL34" s="123"/>
      <c r="BM34" s="123"/>
      <c r="BN34" s="116"/>
      <c r="BO34" s="116"/>
      <c r="BP34" s="116"/>
      <c r="BQ34" s="116"/>
      <c r="BR34" s="116"/>
      <c r="BS34" s="123"/>
      <c r="BT34" s="123"/>
      <c r="BU34" s="116"/>
      <c r="BV34" s="116"/>
      <c r="BW34" s="116"/>
      <c r="BX34" s="116"/>
      <c r="BY34" s="116"/>
      <c r="BZ34" s="94"/>
      <c r="CA34" s="107"/>
      <c r="CB34" s="116" t="str">
        <f t="array" ref="CB34">IFERROR(INDEX('Resument Total - Ofertas Proyec'!$B:$B,MATCH(CE34,'Resument Total - Ofertas Proyec'!$D:$D,0)),"")</f>
        <v/>
      </c>
      <c r="CC34" s="116" t="str">
        <f t="array" ref="CC34">IFERROR(INDEX('Imputación TR - Proyecto-Quince'!$B:$B,MATCH(CE34,'Imputación TR - Proyecto-Quince'!$C:$C,0)),"")</f>
        <v/>
      </c>
      <c r="CD34" s="116"/>
      <c r="CE34" s="116"/>
      <c r="CF34" s="116" t="str">
        <f t="shared" si="56"/>
        <v/>
      </c>
      <c r="CG34" s="120" t="s">
        <v>82</v>
      </c>
      <c r="CH34" s="120"/>
      <c r="CI34" s="113" t="str">
        <f t="shared" si="57"/>
        <v>-</v>
      </c>
      <c r="CJ34" s="120">
        <f t="shared" si="58"/>
        <v>0</v>
      </c>
      <c r="CK34" s="123"/>
      <c r="CL34" s="123"/>
      <c r="CM34" s="116"/>
      <c r="CN34" s="116"/>
      <c r="CO34" s="116"/>
      <c r="CP34" s="116"/>
      <c r="CQ34" s="116"/>
      <c r="CR34" s="123"/>
      <c r="CS34" s="123"/>
      <c r="CT34" s="116"/>
      <c r="CU34" s="116"/>
      <c r="CV34" s="116"/>
      <c r="CW34" s="116"/>
      <c r="CX34" s="116"/>
      <c r="CY34" s="123"/>
      <c r="CZ34" s="124"/>
      <c r="DA34" s="94"/>
      <c r="DB34" s="107"/>
      <c r="DC34" s="116" t="str">
        <f t="array" ref="DC34">IFERROR(INDEX('Resument Total - Ofertas Proyec'!$B:$B,MATCH(DF34,'Resument Total - Ofertas Proyec'!$D:$D,0)),"")</f>
        <v/>
      </c>
      <c r="DD34" s="116" t="str">
        <f t="array" ref="DD34">IFERROR(INDEX('Imputación TR - Proyecto-Quince'!$B:$B,MATCH(DF34,'Imputación TR - Proyecto-Quince'!$C:$C,0)),"")</f>
        <v/>
      </c>
      <c r="DE34" s="116"/>
      <c r="DF34" s="116"/>
      <c r="DG34" s="116" t="str">
        <f t="shared" si="59"/>
        <v/>
      </c>
      <c r="DH34" s="120" t="s">
        <v>82</v>
      </c>
      <c r="DI34" s="120"/>
      <c r="DJ34" s="113" t="str">
        <f t="shared" si="60"/>
        <v>-</v>
      </c>
      <c r="DK34" s="120">
        <f t="shared" si="61"/>
        <v>0</v>
      </c>
      <c r="DL34" s="116"/>
      <c r="DM34" s="116"/>
      <c r="DN34" s="116"/>
      <c r="DO34" s="116"/>
      <c r="DP34" s="116"/>
      <c r="DQ34" s="123"/>
      <c r="DR34" s="123"/>
      <c r="DS34" s="125"/>
      <c r="DT34" s="125"/>
      <c r="DU34" s="125"/>
      <c r="DV34" s="125"/>
      <c r="DW34" s="125"/>
      <c r="DX34" s="126"/>
      <c r="DY34" s="126"/>
      <c r="DZ34" s="125"/>
      <c r="EA34" s="94"/>
      <c r="EB34" s="107"/>
      <c r="EC34" s="116" t="str">
        <f t="array" ref="EC34">IFERROR(INDEX('Resument Total - Ofertas Proyec'!$B:$B,MATCH(EF34,'Resument Total - Ofertas Proyec'!$D:$D,0)),"")</f>
        <v/>
      </c>
      <c r="ED34" s="116" t="str">
        <f t="array" ref="ED34">IFERROR(INDEX('Imputación TR - Proyecto-Quince'!$B:$B,MATCH(EF34,'Imputación TR - Proyecto-Quince'!$C:$C,0)),"")</f>
        <v/>
      </c>
      <c r="EE34" s="116"/>
      <c r="EF34" s="116"/>
      <c r="EG34" s="116" t="str">
        <f t="shared" si="63"/>
        <v/>
      </c>
      <c r="EH34" s="120" t="s">
        <v>82</v>
      </c>
      <c r="EI34" s="120"/>
      <c r="EJ34" s="113" t="str">
        <f t="shared" si="62"/>
        <v>-</v>
      </c>
      <c r="EK34" s="120">
        <f t="shared" si="30"/>
        <v>0</v>
      </c>
      <c r="EL34" s="116"/>
      <c r="EM34" s="116"/>
      <c r="EN34" s="116"/>
      <c r="EO34" s="116"/>
      <c r="EP34" s="123"/>
      <c r="EQ34" s="123"/>
      <c r="ER34" s="125"/>
      <c r="ES34" s="125"/>
      <c r="ET34" s="125"/>
      <c r="EU34" s="125"/>
      <c r="EV34" s="125"/>
      <c r="EW34" s="126"/>
      <c r="EX34" s="126"/>
      <c r="EY34" s="125"/>
      <c r="EZ34" s="125"/>
    </row>
    <row r="35" ht="18.0" customHeight="1">
      <c r="A35" s="55" t="s">
        <v>101</v>
      </c>
      <c r="B35" s="56" t="str">
        <f t="array" ref="B35">IFERROR(INDEX('Imputación TR - Proyecto-Quince'!$A:$A,MATCH(E35,'Imputación TR - Proyecto-Quince'!$C:$C,0)),"")</f>
        <v/>
      </c>
      <c r="C35" s="56"/>
      <c r="D35" s="57" t="s">
        <v>64</v>
      </c>
      <c r="E35" s="58"/>
      <c r="F35" s="58"/>
      <c r="G35" s="57" t="s">
        <v>80</v>
      </c>
      <c r="H35" s="59" t="s">
        <v>81</v>
      </c>
      <c r="I35" s="60" t="s">
        <v>82</v>
      </c>
      <c r="J35" s="57">
        <f t="shared" si="49"/>
        <v>87</v>
      </c>
      <c r="K35" s="61">
        <v>9.0</v>
      </c>
      <c r="L35" s="62">
        <v>9.0</v>
      </c>
      <c r="M35" s="62"/>
      <c r="N35" s="63"/>
      <c r="O35" s="63"/>
      <c r="P35" s="64">
        <v>9.0</v>
      </c>
      <c r="Q35" s="64">
        <v>9.0</v>
      </c>
      <c r="R35" s="64">
        <v>9.0</v>
      </c>
      <c r="S35" s="64">
        <v>9.0</v>
      </c>
      <c r="T35" s="64">
        <v>6.0</v>
      </c>
      <c r="U35" s="63"/>
      <c r="V35" s="63"/>
      <c r="W35" s="64">
        <v>9.0</v>
      </c>
      <c r="X35" s="64">
        <v>9.0</v>
      </c>
      <c r="Y35" s="65">
        <v>9.0</v>
      </c>
      <c r="Z35" s="66"/>
      <c r="AA35" s="55" t="s">
        <v>101</v>
      </c>
      <c r="AB35" s="67" t="str">
        <f t="array" ref="AB35">IFERROR(INDEX('Resument Total - Ofertas Proyec'!$B:$B,MATCH(AE35,'Resument Total - Ofertas Proyec'!$D:$D,0)),"")</f>
        <v>SDATOOL-34546</v>
      </c>
      <c r="AC35" s="67" t="str">
        <f t="array" ref="AC35">IFERROR(INDEX('Imputación TR - Proyecto-Quince'!$B:$B,MATCH(AE35,'Imputación TR - Proyecto-Quince'!$C:$C,0)),"")</f>
        <v>Calypso IV. Migración Abaco a Calypso F4 Swaps.</v>
      </c>
      <c r="AD35" s="95"/>
      <c r="AE35" s="24" t="s">
        <v>13</v>
      </c>
      <c r="AF35" s="75" t="str">
        <f t="shared" si="50"/>
        <v/>
      </c>
      <c r="AG35" s="69" t="s">
        <v>83</v>
      </c>
      <c r="AH35" s="64" t="s">
        <v>81</v>
      </c>
      <c r="AI35" s="60" t="str">
        <f t="shared" si="51"/>
        <v>-</v>
      </c>
      <c r="AJ35" s="75">
        <f t="shared" si="52"/>
        <v>110</v>
      </c>
      <c r="AK35" s="64">
        <v>10.0</v>
      </c>
      <c r="AL35" s="64">
        <v>10.0</v>
      </c>
      <c r="AM35" s="80"/>
      <c r="AN35" s="80"/>
      <c r="AO35" s="64">
        <v>10.0</v>
      </c>
      <c r="AP35" s="64">
        <v>10.0</v>
      </c>
      <c r="AQ35" s="64">
        <v>10.0</v>
      </c>
      <c r="AR35" s="64">
        <v>10.0</v>
      </c>
      <c r="AS35" s="64">
        <v>10.0</v>
      </c>
      <c r="AT35" s="80"/>
      <c r="AU35" s="80"/>
      <c r="AV35" s="64">
        <v>10.0</v>
      </c>
      <c r="AW35" s="64">
        <v>10.0</v>
      </c>
      <c r="AX35" s="64">
        <v>10.0</v>
      </c>
      <c r="AY35" s="64">
        <v>10.0</v>
      </c>
      <c r="AZ35" s="66"/>
      <c r="BA35" s="55" t="s">
        <v>101</v>
      </c>
      <c r="BB35" s="67" t="str">
        <f t="array" ref="BB35">IFERROR(INDEX('Resument Total - Ofertas Proyec'!$B:$B,MATCH(BE35,'Resument Total - Ofertas Proyec'!$D:$D,0)),"")</f>
        <v>SDATOOL-51125</v>
      </c>
      <c r="BC35" s="67" t="str">
        <f t="array" ref="BC35">IFERROR(INDEX('Imputación TR - Proyecto-Quince'!$B:$B,MATCH(BE35,'Imputación TR - Proyecto-Quince'!$C:$C,0)),"")</f>
        <v>Migración FX y MM. Apagado Midas - Operaciones</v>
      </c>
      <c r="BD35" s="95"/>
      <c r="BE35" s="24" t="s">
        <v>38</v>
      </c>
      <c r="BF35" s="75" t="str">
        <f t="shared" si="53"/>
        <v/>
      </c>
      <c r="BG35" s="77" t="s">
        <v>83</v>
      </c>
      <c r="BH35" s="64" t="s">
        <v>81</v>
      </c>
      <c r="BI35" s="60" t="str">
        <f t="shared" si="54"/>
        <v>-</v>
      </c>
      <c r="BJ35" s="75">
        <f t="shared" si="55"/>
        <v>150</v>
      </c>
      <c r="BK35" s="80"/>
      <c r="BL35" s="80"/>
      <c r="BM35" s="80"/>
      <c r="BN35" s="64">
        <v>15.0</v>
      </c>
      <c r="BO35" s="64">
        <v>15.0</v>
      </c>
      <c r="BP35" s="64">
        <v>15.0</v>
      </c>
      <c r="BQ35" s="64">
        <v>15.0</v>
      </c>
      <c r="BR35" s="64">
        <v>15.0</v>
      </c>
      <c r="BS35" s="80"/>
      <c r="BT35" s="80"/>
      <c r="BU35" s="64">
        <v>15.0</v>
      </c>
      <c r="BV35" s="64">
        <v>15.0</v>
      </c>
      <c r="BW35" s="64">
        <v>15.0</v>
      </c>
      <c r="BX35" s="64">
        <v>15.0</v>
      </c>
      <c r="BY35" s="64">
        <v>15.0</v>
      </c>
      <c r="BZ35" s="66"/>
      <c r="CA35" s="55" t="s">
        <v>101</v>
      </c>
      <c r="CB35" s="67" t="str">
        <f t="array" ref="CB35">IFERROR(INDEX('Resument Total - Ofertas Proyec'!$B:$B,MATCH(CE35,'Resument Total - Ofertas Proyec'!$D:$D,0)),"")</f>
        <v>SDATOOL-34546</v>
      </c>
      <c r="CC35" s="67" t="str">
        <f t="array" ref="CC35">IFERROR(INDEX('Imputación TR - Proyecto-Quince'!$B:$B,MATCH(CE35,'Imputación TR - Proyecto-Quince'!$C:$C,0)),"")</f>
        <v>Calypso V. Migración productos estructurados F5.</v>
      </c>
      <c r="CD35" s="95"/>
      <c r="CE35" s="24" t="s">
        <v>15</v>
      </c>
      <c r="CF35" s="75" t="str">
        <f t="shared" si="56"/>
        <v/>
      </c>
      <c r="CG35" s="77" t="s">
        <v>83</v>
      </c>
      <c r="CH35" s="64" t="s">
        <v>81</v>
      </c>
      <c r="CI35" s="60" t="str">
        <f t="shared" si="57"/>
        <v>-</v>
      </c>
      <c r="CJ35" s="75">
        <f t="shared" si="58"/>
        <v>50</v>
      </c>
      <c r="CK35" s="80"/>
      <c r="CL35" s="80"/>
      <c r="CM35" s="64">
        <v>5.0</v>
      </c>
      <c r="CN35" s="64">
        <v>5.0</v>
      </c>
      <c r="CO35" s="64">
        <v>5.0</v>
      </c>
      <c r="CP35" s="64">
        <v>5.0</v>
      </c>
      <c r="CQ35" s="64">
        <v>5.0</v>
      </c>
      <c r="CR35" s="80"/>
      <c r="CS35" s="80"/>
      <c r="CT35" s="64">
        <v>5.0</v>
      </c>
      <c r="CU35" s="64">
        <v>5.0</v>
      </c>
      <c r="CV35" s="64">
        <v>5.0</v>
      </c>
      <c r="CW35" s="64">
        <v>5.0</v>
      </c>
      <c r="CX35" s="64">
        <v>5.0</v>
      </c>
      <c r="CY35" s="80"/>
      <c r="CZ35" s="81"/>
      <c r="DA35" s="66"/>
      <c r="DB35" s="55" t="s">
        <v>101</v>
      </c>
      <c r="DC35" s="67" t="str">
        <f t="array" ref="DC35">IFERROR(INDEX('Resument Total - Ofertas Proyec'!$B:$B,MATCH(DF35,'Resument Total - Ofertas Proyec'!$D:$D,0)),"")</f>
        <v>SDATOOL-51125</v>
      </c>
      <c r="DD35" s="67" t="str">
        <f t="array" ref="DD35">IFERROR(INDEX('Imputación TR - Proyecto-Quince'!$B:$B,MATCH(DF35,'Imputación TR - Proyecto-Quince'!$C:$C,0)),"")</f>
        <v>Migración FX y MM. Apagado Midas - CLS</v>
      </c>
      <c r="DE35" s="95"/>
      <c r="DF35" s="24" t="s">
        <v>36</v>
      </c>
      <c r="DG35" s="75" t="str">
        <f t="shared" si="59"/>
        <v>GoldenSource</v>
      </c>
      <c r="DH35" s="77" t="s">
        <v>83</v>
      </c>
      <c r="DI35" s="64" t="s">
        <v>86</v>
      </c>
      <c r="DJ35" s="60" t="str">
        <f t="shared" si="60"/>
        <v>Otras Tecnologías</v>
      </c>
      <c r="DK35" s="75">
        <f t="shared" si="61"/>
        <v>35</v>
      </c>
      <c r="DL35" s="64">
        <v>5.0</v>
      </c>
      <c r="DM35" s="64">
        <v>5.0</v>
      </c>
      <c r="DN35" s="64">
        <v>5.0</v>
      </c>
      <c r="DO35" s="64">
        <v>5.0</v>
      </c>
      <c r="DP35" s="64">
        <v>15.0</v>
      </c>
      <c r="DQ35" s="80"/>
      <c r="DR35" s="80"/>
      <c r="DS35" s="87"/>
      <c r="DT35" s="87"/>
      <c r="DU35" s="87"/>
      <c r="DV35" s="87"/>
      <c r="DW35" s="87"/>
      <c r="DX35" s="82"/>
      <c r="DY35" s="82"/>
      <c r="DZ35" s="87"/>
      <c r="EA35" s="66"/>
      <c r="EB35" s="55" t="s">
        <v>101</v>
      </c>
      <c r="EC35" s="67" t="str">
        <f t="array" ref="EC35">IFERROR(INDEX('Resument Total - Ofertas Proyec'!$B:$B,MATCH(EF35,'Resument Total - Ofertas Proyec'!$D:$D,0)),"")</f>
        <v>SDATOOL-51125</v>
      </c>
      <c r="ED35" s="67" t="str">
        <f t="array" ref="ED35">IFERROR(INDEX('Imputación TR - Proyecto-Quince'!$B:$B,MATCH(EF35,'Imputación TR - Proyecto-Quince'!$C:$C,0)),"")</f>
        <v>Migración FX y MM. Apagado Midas - Operaciones</v>
      </c>
      <c r="EE35" s="61"/>
      <c r="EF35" s="24" t="s">
        <v>38</v>
      </c>
      <c r="EG35" s="24" t="str">
        <f t="shared" si="63"/>
        <v/>
      </c>
      <c r="EH35" s="144" t="s">
        <v>83</v>
      </c>
      <c r="EI35" s="64" t="s">
        <v>81</v>
      </c>
      <c r="EJ35" s="70" t="str">
        <f t="shared" si="62"/>
        <v>-</v>
      </c>
      <c r="EK35" s="57">
        <f t="shared" si="30"/>
        <v>60</v>
      </c>
      <c r="EL35" s="64">
        <v>15.0</v>
      </c>
      <c r="EM35" s="64">
        <v>15.0</v>
      </c>
      <c r="EN35" s="64">
        <v>15.0</v>
      </c>
      <c r="EO35" s="64">
        <v>15.0</v>
      </c>
      <c r="EP35" s="80"/>
      <c r="EQ35" s="80"/>
      <c r="ER35" s="83"/>
      <c r="ES35" s="83"/>
      <c r="ET35" s="83"/>
      <c r="EU35" s="83"/>
      <c r="EV35" s="83"/>
      <c r="EW35" s="82"/>
      <c r="EX35" s="82"/>
      <c r="EY35" s="83"/>
      <c r="EZ35" s="83"/>
    </row>
    <row r="36" ht="18.0" customHeight="1">
      <c r="A36" s="88"/>
      <c r="B36" s="143" t="str">
        <f t="array" ref="B36">IFERROR(INDEX('Imputación TR - Proyecto-Quince'!$A:$A,MATCH(E36,'Imputación TR - Proyecto-Quince'!$C:$C,0)),"")</f>
        <v/>
      </c>
      <c r="C36" s="143" t="str">
        <f t="array" ref="C36">IFERROR(INDEX('Imputación TR - Proyecto-Quince'!$B:$B,MATCH(E36,'Imputación TR - Proyecto-Quince'!$C:$C,0)),"")</f>
        <v/>
      </c>
      <c r="D36" s="98"/>
      <c r="E36" s="143"/>
      <c r="F36" s="143" t="str">
        <f>IF(I36="Otras Tecnologías","GoldenSource","")</f>
        <v/>
      </c>
      <c r="G36" s="143" t="s">
        <v>82</v>
      </c>
      <c r="H36" s="98"/>
      <c r="I36" s="70" t="str">
        <f>IF(OR(H36="Codificación",H36="Pruebas"),"Otras Tecnologías","-")</f>
        <v>-</v>
      </c>
      <c r="J36" s="143">
        <f t="shared" si="49"/>
        <v>0</v>
      </c>
      <c r="K36" s="92"/>
      <c r="L36" s="90"/>
      <c r="M36" s="90"/>
      <c r="N36" s="91"/>
      <c r="O36" s="91"/>
      <c r="P36" s="92"/>
      <c r="Q36" s="92"/>
      <c r="R36" s="92"/>
      <c r="S36" s="92"/>
      <c r="T36" s="92"/>
      <c r="U36" s="91"/>
      <c r="V36" s="91"/>
      <c r="W36" s="92"/>
      <c r="X36" s="92"/>
      <c r="Y36" s="93"/>
      <c r="Z36" s="94"/>
      <c r="AA36" s="88"/>
      <c r="AB36" s="143" t="str">
        <f t="array" ref="AB36">IFERROR(INDEX('Resument Total - Ofertas Proyec'!$B:$B,MATCH(AE36,'Resument Total - Ofertas Proyec'!$D:$D,0)),"")</f>
        <v/>
      </c>
      <c r="AC36" s="143" t="str">
        <f t="array" ref="AC36">IFERROR(INDEX('Imputación TR - Proyecto-Quince'!$B:$B,MATCH(AE36,'Imputación TR - Proyecto-Quince'!$C:$C,0)),"")</f>
        <v/>
      </c>
      <c r="AD36" s="92"/>
      <c r="AE36" s="143"/>
      <c r="AF36" s="143" t="str">
        <f t="shared" si="50"/>
        <v/>
      </c>
      <c r="AG36" s="143" t="s">
        <v>82</v>
      </c>
      <c r="AH36" s="98"/>
      <c r="AI36" s="70" t="str">
        <f t="shared" si="51"/>
        <v>-</v>
      </c>
      <c r="AJ36" s="143">
        <f t="shared" si="52"/>
        <v>0</v>
      </c>
      <c r="AK36" s="98"/>
      <c r="AL36" s="98"/>
      <c r="AM36" s="97"/>
      <c r="AN36" s="97"/>
      <c r="AO36" s="98"/>
      <c r="AP36" s="98"/>
      <c r="AQ36" s="98"/>
      <c r="AR36" s="98"/>
      <c r="AS36" s="98"/>
      <c r="AT36" s="97"/>
      <c r="AU36" s="97"/>
      <c r="AV36" s="98"/>
      <c r="AW36" s="98"/>
      <c r="AX36" s="98"/>
      <c r="AY36" s="137"/>
      <c r="AZ36" s="94"/>
      <c r="BA36" s="88"/>
      <c r="BB36" s="143" t="str">
        <f t="array" ref="BB36">IFERROR(INDEX('Resument Total - Ofertas Proyec'!$B:$B,MATCH(BE36,'Resument Total - Ofertas Proyec'!$D:$D,0)),"")</f>
        <v/>
      </c>
      <c r="BC36" s="143" t="str">
        <f t="array" ref="BC36">IFERROR(INDEX('Imputación TR - Proyecto-Quince'!$B:$B,MATCH(BE36,'Imputación TR - Proyecto-Quince'!$C:$C,0)),"")</f>
        <v/>
      </c>
      <c r="BD36" s="92"/>
      <c r="BE36" s="143"/>
      <c r="BF36" s="143" t="str">
        <f t="shared" si="53"/>
        <v/>
      </c>
      <c r="BG36" s="143" t="s">
        <v>82</v>
      </c>
      <c r="BH36" s="98"/>
      <c r="BI36" s="70" t="str">
        <f t="shared" si="54"/>
        <v>-</v>
      </c>
      <c r="BJ36" s="143">
        <f t="shared" si="55"/>
        <v>0</v>
      </c>
      <c r="BK36" s="99"/>
      <c r="BL36" s="99"/>
      <c r="BM36" s="99"/>
      <c r="BN36" s="92"/>
      <c r="BO36" s="92"/>
      <c r="BP36" s="92"/>
      <c r="BQ36" s="92"/>
      <c r="BR36" s="92"/>
      <c r="BS36" s="99"/>
      <c r="BT36" s="99"/>
      <c r="BU36" s="92"/>
      <c r="BV36" s="92"/>
      <c r="BW36" s="92"/>
      <c r="BX36" s="92"/>
      <c r="BY36" s="92"/>
      <c r="BZ36" s="94"/>
      <c r="CA36" s="88"/>
      <c r="CB36" s="143" t="str">
        <f t="array" ref="CB36">IFERROR(INDEX('Resument Total - Ofertas Proyec'!$B:$B,MATCH(CE36,'Resument Total - Ofertas Proyec'!$D:$D,0)),"")</f>
        <v>SDATOOL-51125</v>
      </c>
      <c r="CC36" s="143" t="str">
        <f t="array" ref="CC36">IFERROR(INDEX('Imputación TR - Proyecto-Quince'!$B:$B,MATCH(CE36,'Imputación TR - Proyecto-Quince'!$C:$C,0)),"")</f>
        <v>Migración FX y MM. Apagado Midas - Operaciones</v>
      </c>
      <c r="CD36" s="92"/>
      <c r="CE36" s="24" t="s">
        <v>38</v>
      </c>
      <c r="CF36" s="143" t="str">
        <f t="shared" si="56"/>
        <v/>
      </c>
      <c r="CG36" s="76" t="s">
        <v>83</v>
      </c>
      <c r="CH36" s="71" t="s">
        <v>81</v>
      </c>
      <c r="CI36" s="70" t="str">
        <f t="shared" si="57"/>
        <v>-</v>
      </c>
      <c r="CJ36" s="143">
        <f t="shared" si="58"/>
        <v>50</v>
      </c>
      <c r="CK36" s="99"/>
      <c r="CL36" s="99"/>
      <c r="CM36" s="89">
        <v>5.0</v>
      </c>
      <c r="CN36" s="89">
        <v>5.0</v>
      </c>
      <c r="CO36" s="89">
        <v>5.0</v>
      </c>
      <c r="CP36" s="89">
        <v>5.0</v>
      </c>
      <c r="CQ36" s="89">
        <v>5.0</v>
      </c>
      <c r="CR36" s="99"/>
      <c r="CS36" s="99"/>
      <c r="CT36" s="89">
        <v>5.0</v>
      </c>
      <c r="CU36" s="89">
        <v>5.0</v>
      </c>
      <c r="CV36" s="89">
        <v>5.0</v>
      </c>
      <c r="CW36" s="89">
        <v>5.0</v>
      </c>
      <c r="CX36" s="89">
        <v>5.0</v>
      </c>
      <c r="CY36" s="99"/>
      <c r="CZ36" s="100"/>
      <c r="DA36" s="94"/>
      <c r="DB36" s="88"/>
      <c r="DC36" s="143" t="str">
        <f t="array" ref="DC36">IFERROR(INDEX('Resument Total - Ofertas Proyec'!$B:$B,MATCH(DF36,'Resument Total - Ofertas Proyec'!$D:$D,0)),"")</f>
        <v>SDATOOL-54626</v>
      </c>
      <c r="DD36" s="143" t="str">
        <f t="array" ref="DD36">IFERROR(INDEX('Imputación TR - Proyecto-Quince'!$B:$B,MATCH(DF36,'Imputación TR - Proyecto-Quince'!$C:$C,0)),"")</f>
        <v>Institutional Clients Transversal Tools Plan (eClients)</v>
      </c>
      <c r="DE36" s="92"/>
      <c r="DF36" s="24" t="s">
        <v>18</v>
      </c>
      <c r="DG36" s="143" t="str">
        <f t="shared" si="59"/>
        <v>GoldenSource</v>
      </c>
      <c r="DH36" s="76" t="s">
        <v>83</v>
      </c>
      <c r="DI36" s="71" t="s">
        <v>86</v>
      </c>
      <c r="DJ36" s="70" t="str">
        <f t="shared" si="60"/>
        <v>Otras Tecnologías</v>
      </c>
      <c r="DK36" s="143">
        <f t="shared" si="61"/>
        <v>40</v>
      </c>
      <c r="DL36" s="89">
        <v>10.0</v>
      </c>
      <c r="DM36" s="89">
        <v>10.0</v>
      </c>
      <c r="DN36" s="89">
        <v>10.0</v>
      </c>
      <c r="DO36" s="89">
        <v>10.0</v>
      </c>
      <c r="DP36" s="92"/>
      <c r="DQ36" s="99"/>
      <c r="DR36" s="99"/>
      <c r="DS36" s="102"/>
      <c r="DT36" s="102"/>
      <c r="DU36" s="102"/>
      <c r="DV36" s="102"/>
      <c r="DW36" s="102"/>
      <c r="DX36" s="103"/>
      <c r="DY36" s="103"/>
      <c r="DZ36" s="102"/>
      <c r="EA36" s="94"/>
      <c r="EB36" s="88"/>
      <c r="EC36" s="143" t="str">
        <f t="array" ref="EC36">IFERROR(INDEX('Resument Total - Ofertas Proyec'!$B:$B,MATCH(EF36,'Resument Total - Ofertas Proyec'!$D:$D,0)),"")</f>
        <v/>
      </c>
      <c r="ED36" s="143" t="str">
        <f t="array" ref="ED36">IFERROR(INDEX('Imputación TR - Proyecto-Quince'!$B:$B,MATCH(EF36,'Imputación TR - Proyecto-Quince'!$C:$C,0)),"")</f>
        <v/>
      </c>
      <c r="EE36" s="89" t="s">
        <v>64</v>
      </c>
      <c r="EF36" s="46"/>
      <c r="EG36" s="46" t="s">
        <v>88</v>
      </c>
      <c r="EH36" s="76" t="s">
        <v>80</v>
      </c>
      <c r="EI36" s="71" t="s">
        <v>81</v>
      </c>
      <c r="EJ36" s="70" t="str">
        <f t="shared" si="62"/>
        <v>-</v>
      </c>
      <c r="EK36" s="143">
        <f t="shared" si="30"/>
        <v>60</v>
      </c>
      <c r="EL36" s="92"/>
      <c r="EM36" s="92"/>
      <c r="EN36" s="92"/>
      <c r="EO36" s="92"/>
      <c r="EP36" s="99"/>
      <c r="EQ36" s="99"/>
      <c r="ER36" s="102">
        <v>9.0</v>
      </c>
      <c r="ES36" s="102">
        <v>9.0</v>
      </c>
      <c r="ET36" s="102">
        <v>9.0</v>
      </c>
      <c r="EU36" s="102">
        <v>9.0</v>
      </c>
      <c r="EV36" s="102">
        <v>6.0</v>
      </c>
      <c r="EW36" s="145"/>
      <c r="EX36" s="145"/>
      <c r="EY36" s="102">
        <v>9.0</v>
      </c>
      <c r="EZ36" s="102">
        <v>9.0</v>
      </c>
    </row>
    <row r="37" ht="18.0" customHeight="1">
      <c r="A37" s="107"/>
      <c r="B37" s="120"/>
      <c r="C37" s="120"/>
      <c r="D37" s="120"/>
      <c r="E37" s="116"/>
      <c r="F37" s="116"/>
      <c r="G37" s="120"/>
      <c r="H37" s="116"/>
      <c r="I37" s="113"/>
      <c r="J37" s="120"/>
      <c r="K37" s="116"/>
      <c r="L37" s="114"/>
      <c r="M37" s="114"/>
      <c r="N37" s="115"/>
      <c r="O37" s="115"/>
      <c r="P37" s="116"/>
      <c r="Q37" s="116"/>
      <c r="R37" s="116"/>
      <c r="S37" s="116"/>
      <c r="T37" s="116"/>
      <c r="U37" s="115"/>
      <c r="V37" s="115"/>
      <c r="W37" s="116"/>
      <c r="X37" s="116"/>
      <c r="Y37" s="117"/>
      <c r="Z37" s="94"/>
      <c r="AA37" s="107"/>
      <c r="AB37" s="116"/>
      <c r="AC37" s="116"/>
      <c r="AD37" s="116"/>
      <c r="AE37" s="116"/>
      <c r="AF37" s="116"/>
      <c r="AG37" s="120"/>
      <c r="AH37" s="116"/>
      <c r="AI37" s="113"/>
      <c r="AJ37" s="120"/>
      <c r="AK37" s="120"/>
      <c r="AL37" s="120"/>
      <c r="AM37" s="121"/>
      <c r="AN37" s="121"/>
      <c r="AO37" s="120"/>
      <c r="AP37" s="120"/>
      <c r="AQ37" s="120"/>
      <c r="AR37" s="120"/>
      <c r="AS37" s="120"/>
      <c r="AT37" s="121"/>
      <c r="AU37" s="121"/>
      <c r="AV37" s="120"/>
      <c r="AW37" s="120"/>
      <c r="AX37" s="120"/>
      <c r="AY37" s="142"/>
      <c r="AZ37" s="94"/>
      <c r="BA37" s="107"/>
      <c r="BB37" s="116"/>
      <c r="BC37" s="116"/>
      <c r="BD37" s="116"/>
      <c r="BE37" s="116"/>
      <c r="BF37" s="116"/>
      <c r="BG37" s="120"/>
      <c r="BH37" s="116"/>
      <c r="BI37" s="113"/>
      <c r="BJ37" s="120"/>
      <c r="BK37" s="123"/>
      <c r="BL37" s="123"/>
      <c r="BM37" s="123"/>
      <c r="BN37" s="116"/>
      <c r="BO37" s="116"/>
      <c r="BP37" s="116"/>
      <c r="BQ37" s="116"/>
      <c r="BR37" s="116"/>
      <c r="BS37" s="123"/>
      <c r="BT37" s="123"/>
      <c r="BU37" s="116"/>
      <c r="BV37" s="116"/>
      <c r="BW37" s="116"/>
      <c r="BX37" s="116"/>
      <c r="BY37" s="116"/>
      <c r="BZ37" s="94"/>
      <c r="CA37" s="107"/>
      <c r="CB37" s="116"/>
      <c r="CC37" s="116"/>
      <c r="CD37" s="116"/>
      <c r="CE37" s="116"/>
      <c r="CF37" s="190" t="str">
        <f t="shared" si="56"/>
        <v/>
      </c>
      <c r="CG37" s="112"/>
      <c r="CH37" s="110"/>
      <c r="CI37" s="113"/>
      <c r="CJ37" s="120"/>
      <c r="CK37" s="123"/>
      <c r="CL37" s="123"/>
      <c r="CM37" s="110"/>
      <c r="CN37" s="110"/>
      <c r="CO37" s="110"/>
      <c r="CP37" s="110"/>
      <c r="CQ37" s="110"/>
      <c r="CR37" s="123"/>
      <c r="CS37" s="123"/>
      <c r="CT37" s="110"/>
      <c r="CU37" s="110"/>
      <c r="CV37" s="110"/>
      <c r="CW37" s="110"/>
      <c r="CX37" s="110"/>
      <c r="CY37" s="123"/>
      <c r="CZ37" s="124"/>
      <c r="DA37" s="94"/>
      <c r="DB37" s="107"/>
      <c r="DC37" s="116"/>
      <c r="DD37" s="116"/>
      <c r="DE37" s="193" t="s">
        <v>64</v>
      </c>
      <c r="DF37" s="68"/>
      <c r="DG37" s="68" t="str">
        <f t="shared" si="59"/>
        <v/>
      </c>
      <c r="DH37" s="46" t="s">
        <v>80</v>
      </c>
      <c r="DI37" s="72" t="s">
        <v>81</v>
      </c>
      <c r="DJ37" s="113" t="str">
        <f t="shared" si="60"/>
        <v>-</v>
      </c>
      <c r="DK37" s="120"/>
      <c r="DL37" s="116"/>
      <c r="DM37" s="116"/>
      <c r="DN37" s="116"/>
      <c r="DO37" s="116"/>
      <c r="DP37" s="116"/>
      <c r="DQ37" s="123"/>
      <c r="DR37" s="123"/>
      <c r="DS37" s="102">
        <v>9.0</v>
      </c>
      <c r="DT37" s="102">
        <v>9.0</v>
      </c>
      <c r="DU37" s="102">
        <v>9.0</v>
      </c>
      <c r="DV37" s="102">
        <v>9.0</v>
      </c>
      <c r="DW37" s="102">
        <v>6.0</v>
      </c>
      <c r="DX37" s="103"/>
      <c r="DY37" s="103"/>
      <c r="DZ37" s="102">
        <v>9.0</v>
      </c>
      <c r="EA37" s="94"/>
      <c r="EB37" s="107"/>
      <c r="EC37" s="116"/>
      <c r="ED37" s="116"/>
      <c r="EE37" s="116"/>
      <c r="EF37" s="116"/>
      <c r="EG37" s="116" t="str">
        <f t="shared" ref="EG37:EG42" si="68">IF(EJ37="Otras Tecnologías","GoldenSource","")</f>
        <v/>
      </c>
      <c r="EH37" s="120"/>
      <c r="EI37" s="116"/>
      <c r="EJ37" s="113"/>
      <c r="EK37" s="120"/>
      <c r="EL37" s="116"/>
      <c r="EM37" s="116"/>
      <c r="EN37" s="116"/>
      <c r="EO37" s="116"/>
      <c r="EP37" s="123"/>
      <c r="EQ37" s="123"/>
      <c r="ER37" s="125"/>
      <c r="ES37" s="125"/>
      <c r="ET37" s="125"/>
      <c r="EU37" s="125"/>
      <c r="EV37" s="125"/>
      <c r="EW37" s="126"/>
      <c r="EX37" s="126"/>
      <c r="EY37" s="125"/>
      <c r="EZ37" s="125"/>
    </row>
    <row r="38" ht="18.0" customHeight="1">
      <c r="A38" s="194" t="s">
        <v>102</v>
      </c>
      <c r="B38" s="56" t="str">
        <f t="array" ref="B38">IFERROR(INDEX('Imputación TR - Proyecto-Quince'!$A:$A,MATCH(E38,'Imputación TR - Proyecto-Quince'!$C:$C,0)),"")</f>
        <v/>
      </c>
      <c r="C38" s="56"/>
      <c r="D38" s="57" t="s">
        <v>64</v>
      </c>
      <c r="E38" s="58"/>
      <c r="F38" s="58"/>
      <c r="G38" s="57" t="s">
        <v>80</v>
      </c>
      <c r="H38" s="59" t="s">
        <v>81</v>
      </c>
      <c r="I38" s="60" t="s">
        <v>82</v>
      </c>
      <c r="J38" s="57">
        <f t="shared" ref="J38:J58" si="69">SUM(K38:Y38)</f>
        <v>87</v>
      </c>
      <c r="K38" s="61">
        <v>9.0</v>
      </c>
      <c r="L38" s="62">
        <v>9.0</v>
      </c>
      <c r="M38" s="62"/>
      <c r="N38" s="63"/>
      <c r="O38" s="63"/>
      <c r="P38" s="64">
        <v>9.0</v>
      </c>
      <c r="Q38" s="64">
        <v>9.0</v>
      </c>
      <c r="R38" s="64">
        <v>9.0</v>
      </c>
      <c r="S38" s="64">
        <v>9.0</v>
      </c>
      <c r="T38" s="64">
        <v>6.0</v>
      </c>
      <c r="U38" s="63"/>
      <c r="V38" s="63"/>
      <c r="W38" s="64">
        <v>9.0</v>
      </c>
      <c r="X38" s="64">
        <v>9.0</v>
      </c>
      <c r="Y38" s="65">
        <v>9.0</v>
      </c>
      <c r="Z38" s="66"/>
      <c r="AA38" s="194" t="s">
        <v>102</v>
      </c>
      <c r="AB38" s="67" t="str">
        <f t="array" ref="AB38">IFERROR(INDEX('Resument Total - Ofertas Proyec'!$B:$B,MATCH(AE38,'Resument Total - Ofertas Proyec'!$D:$D,0)),"")</f>
        <v/>
      </c>
      <c r="AC38" s="67" t="str">
        <f t="array" ref="AC38">IFERROR(INDEX('Imputación TR - Proyecto-Quince'!$B:$B,MATCH(AE38,'Imputación TR - Proyecto-Quince'!$C:$C,0)),"")</f>
        <v/>
      </c>
      <c r="AD38" s="57" t="s">
        <v>64</v>
      </c>
      <c r="AE38" s="58"/>
      <c r="AF38" s="72" t="str">
        <f t="shared" ref="AF38:AF61" si="70">IF(AI38="Otras Tecnologías","GoldenSource","")</f>
        <v/>
      </c>
      <c r="AG38" s="57" t="s">
        <v>80</v>
      </c>
      <c r="AH38" s="59" t="s">
        <v>81</v>
      </c>
      <c r="AI38" s="60" t="str">
        <f t="shared" ref="AI38:AI58" si="71">IF(OR(AH38="Codificación",AH38="Pruebas"),"Otras Tecnologías","-")</f>
        <v>-</v>
      </c>
      <c r="AJ38" s="184">
        <f t="shared" ref="AJ38:AJ61" si="72">SUM(AK38:AY38)</f>
        <v>96</v>
      </c>
      <c r="AK38" s="64">
        <v>9.0</v>
      </c>
      <c r="AL38" s="64">
        <v>9.0</v>
      </c>
      <c r="AM38" s="80"/>
      <c r="AN38" s="80"/>
      <c r="AO38" s="64">
        <v>9.0</v>
      </c>
      <c r="AP38" s="64">
        <v>9.0</v>
      </c>
      <c r="AQ38" s="64">
        <v>9.0</v>
      </c>
      <c r="AR38" s="64">
        <v>9.0</v>
      </c>
      <c r="AS38" s="64">
        <v>6.0</v>
      </c>
      <c r="AT38" s="80"/>
      <c r="AU38" s="80"/>
      <c r="AV38" s="64">
        <v>9.0</v>
      </c>
      <c r="AW38" s="64">
        <v>9.0</v>
      </c>
      <c r="AX38" s="64">
        <v>9.0</v>
      </c>
      <c r="AY38" s="65">
        <v>9.0</v>
      </c>
      <c r="AZ38" s="66"/>
      <c r="BA38" s="194" t="s">
        <v>102</v>
      </c>
      <c r="BB38" s="67" t="str">
        <f t="array" ref="BB38">IFERROR(INDEX('Resument Total - Ofertas Proyec'!$B:$B,MATCH(BE38,'Resument Total - Ofertas Proyec'!$D:$D,0)),"")</f>
        <v/>
      </c>
      <c r="BC38" s="67" t="str">
        <f t="array" ref="BC38">IFERROR(INDEX('Imputación TR - Proyecto-Quince'!$B:$B,MATCH(BE38,'Imputación TR - Proyecto-Quince'!$C:$C,0)),"")</f>
        <v/>
      </c>
      <c r="BD38" s="57" t="s">
        <v>64</v>
      </c>
      <c r="BE38" s="58"/>
      <c r="BF38" s="72" t="str">
        <f t="shared" ref="BF38:BF59" si="73">IF(BI38="Otras Tecnologías","GoldenSource","")</f>
        <v/>
      </c>
      <c r="BG38" s="57" t="s">
        <v>80</v>
      </c>
      <c r="BH38" s="59" t="s">
        <v>81</v>
      </c>
      <c r="BI38" s="60" t="str">
        <f t="shared" ref="BI38:BI58" si="74">IF(OR(BH38="Codificación",BH38="Pruebas"),"Otras Tecnologías","-")</f>
        <v>-</v>
      </c>
      <c r="BJ38" s="184">
        <f t="shared" ref="BJ38:BJ61" si="75">SUM(BK38:BY38)</f>
        <v>87</v>
      </c>
      <c r="BK38" s="80"/>
      <c r="BL38" s="80"/>
      <c r="BM38" s="80"/>
      <c r="BN38" s="64">
        <v>9.0</v>
      </c>
      <c r="BO38" s="64">
        <v>9.0</v>
      </c>
      <c r="BP38" s="64">
        <v>9.0</v>
      </c>
      <c r="BQ38" s="64">
        <v>9.0</v>
      </c>
      <c r="BR38" s="64">
        <v>6.0</v>
      </c>
      <c r="BS38" s="80"/>
      <c r="BT38" s="80"/>
      <c r="BU38" s="64">
        <v>9.0</v>
      </c>
      <c r="BV38" s="64">
        <v>9.0</v>
      </c>
      <c r="BW38" s="64">
        <v>9.0</v>
      </c>
      <c r="BX38" s="64">
        <v>9.0</v>
      </c>
      <c r="BY38" s="64">
        <v>9.0</v>
      </c>
      <c r="BZ38" s="66"/>
      <c r="CA38" s="194" t="s">
        <v>102</v>
      </c>
      <c r="CB38" s="67" t="str">
        <f t="array" ref="CB38">IFERROR(INDEX('Resument Total - Ofertas Proyec'!$B:$B,MATCH(CE38,'Resument Total - Ofertas Proyec'!$D:$D,0)),"")</f>
        <v/>
      </c>
      <c r="CC38" s="67" t="str">
        <f t="array" ref="CC38">IFERROR(INDEX('Imputación TR - Proyecto-Quince'!$B:$B,MATCH(CE38,'Imputación TR - Proyecto-Quince'!$C:$C,0)),"")</f>
        <v/>
      </c>
      <c r="CD38" s="57" t="s">
        <v>64</v>
      </c>
      <c r="CE38" s="58"/>
      <c r="CF38" s="72" t="str">
        <f t="shared" si="56"/>
        <v/>
      </c>
      <c r="CG38" s="57" t="s">
        <v>80</v>
      </c>
      <c r="CH38" s="59" t="s">
        <v>81</v>
      </c>
      <c r="CI38" s="60" t="str">
        <f t="shared" ref="CI38:CI61" si="76">IF(OR(CH38="Codificación",CH38="Pruebas"),"Otras Tecnologías","-")</f>
        <v>-</v>
      </c>
      <c r="CJ38" s="184">
        <f t="shared" ref="CJ38:CJ61" si="77">SUM(CK38:CZ38)</f>
        <v>84</v>
      </c>
      <c r="CK38" s="80"/>
      <c r="CL38" s="80"/>
      <c r="CM38" s="64">
        <v>9.0</v>
      </c>
      <c r="CN38" s="64">
        <v>9.0</v>
      </c>
      <c r="CO38" s="64">
        <v>9.0</v>
      </c>
      <c r="CP38" s="64">
        <v>9.0</v>
      </c>
      <c r="CQ38" s="64">
        <v>6.0</v>
      </c>
      <c r="CR38" s="80"/>
      <c r="CS38" s="80"/>
      <c r="CT38" s="64">
        <v>9.0</v>
      </c>
      <c r="CU38" s="64">
        <v>9.0</v>
      </c>
      <c r="CV38" s="64">
        <v>9.0</v>
      </c>
      <c r="CW38" s="64">
        <v>9.0</v>
      </c>
      <c r="CX38" s="64">
        <v>6.0</v>
      </c>
      <c r="CY38" s="80"/>
      <c r="CZ38" s="81"/>
      <c r="DA38" s="66"/>
      <c r="DB38" s="194" t="s">
        <v>102</v>
      </c>
      <c r="DC38" s="67" t="str">
        <f t="array" ref="DC38">IFERROR(INDEX('Resument Total - Ofertas Proyec'!$B:$B,MATCH(DF38,'Resument Total - Ofertas Proyec'!$D:$D,0)),"")</f>
        <v/>
      </c>
      <c r="DD38" s="67" t="str">
        <f t="array" ref="DD38">IFERROR(INDEX('Imputación TR - Proyecto-Quince'!$B:$B,MATCH(DF38,'Imputación TR - Proyecto-Quince'!$C:$C,0)),"")</f>
        <v/>
      </c>
      <c r="DE38" s="138" t="s">
        <v>64</v>
      </c>
      <c r="DF38" s="184"/>
      <c r="DG38" s="184" t="str">
        <f t="shared" si="59"/>
        <v/>
      </c>
      <c r="DH38" s="144" t="s">
        <v>80</v>
      </c>
      <c r="DI38" s="64" t="s">
        <v>81</v>
      </c>
      <c r="DJ38" s="60" t="str">
        <f t="shared" si="60"/>
        <v>-</v>
      </c>
      <c r="DK38" s="184">
        <f t="shared" ref="DK38:DK61" si="78">SUM(DL38:EA38)</f>
        <v>93</v>
      </c>
      <c r="DL38" s="64">
        <v>9.0</v>
      </c>
      <c r="DM38" s="64">
        <v>9.0</v>
      </c>
      <c r="DN38" s="64">
        <v>9.0</v>
      </c>
      <c r="DO38" s="64">
        <v>9.0</v>
      </c>
      <c r="DP38" s="64">
        <v>6.0</v>
      </c>
      <c r="DQ38" s="80"/>
      <c r="DR38" s="80"/>
      <c r="DS38" s="64">
        <v>9.0</v>
      </c>
      <c r="DT38" s="64">
        <v>9.0</v>
      </c>
      <c r="DU38" s="64">
        <v>9.0</v>
      </c>
      <c r="DV38" s="64">
        <v>9.0</v>
      </c>
      <c r="DW38" s="64">
        <v>6.0</v>
      </c>
      <c r="DX38" s="82"/>
      <c r="DY38" s="82"/>
      <c r="DZ38" s="83">
        <v>9.0</v>
      </c>
      <c r="EA38" s="66"/>
      <c r="EB38" s="194" t="s">
        <v>102</v>
      </c>
      <c r="EC38" s="67" t="str">
        <f t="array" ref="EC38">IFERROR(INDEX('Resument Total - Ofertas Proyec'!$B:$B,MATCH(EF38,'Resument Total - Ofertas Proyec'!$D:$D,0)),"")</f>
        <v/>
      </c>
      <c r="ED38" s="67" t="str">
        <f t="array" ref="ED38">IFERROR(INDEX('Imputación TR - Proyecto-Quince'!$B:$B,MATCH(EF38,'Imputación TR - Proyecto-Quince'!$C:$C,0)),"")</f>
        <v/>
      </c>
      <c r="EE38" s="138" t="s">
        <v>64</v>
      </c>
      <c r="EF38" s="184"/>
      <c r="EG38" s="184" t="str">
        <f t="shared" si="68"/>
        <v/>
      </c>
      <c r="EH38" s="144" t="s">
        <v>80</v>
      </c>
      <c r="EI38" s="64" t="s">
        <v>81</v>
      </c>
      <c r="EJ38" s="60" t="str">
        <f t="shared" ref="EJ38:EJ61" si="79">IF(OR(EI38="Codificación",EI38="Pruebas"),"Otras Tecnologías","-")</f>
        <v>-</v>
      </c>
      <c r="EK38" s="184">
        <f t="shared" ref="EK38:EK61" si="80">SUM(EL38:EZ38)</f>
        <v>93</v>
      </c>
      <c r="EL38" s="64">
        <v>9.0</v>
      </c>
      <c r="EM38" s="64">
        <v>9.0</v>
      </c>
      <c r="EN38" s="64">
        <v>9.0</v>
      </c>
      <c r="EO38" s="64">
        <v>6.0</v>
      </c>
      <c r="EP38" s="80"/>
      <c r="EQ38" s="80"/>
      <c r="ER38" s="83">
        <v>9.0</v>
      </c>
      <c r="ES38" s="83">
        <v>9.0</v>
      </c>
      <c r="ET38" s="83">
        <v>9.0</v>
      </c>
      <c r="EU38" s="83">
        <v>9.0</v>
      </c>
      <c r="EV38" s="83">
        <v>6.0</v>
      </c>
      <c r="EW38" s="82"/>
      <c r="EX38" s="82"/>
      <c r="EY38" s="83">
        <v>9.0</v>
      </c>
      <c r="EZ38" s="83">
        <v>9.0</v>
      </c>
    </row>
    <row r="39" ht="18.0" customHeight="1">
      <c r="A39" s="88"/>
      <c r="B39" s="98" t="str">
        <f t="array" ref="B39">IFERROR(INDEX('Imputación TR - Proyecto-Quince'!$A:$A,MATCH(E39,'Imputación TR - Proyecto-Quince'!$C:$C,0)),"")</f>
        <v/>
      </c>
      <c r="C39" s="98" t="str">
        <f t="array" ref="C39">IFERROR(INDEX('Imputación TR - Proyecto-Quince'!$B:$B,MATCH(E39,'Imputación TR - Proyecto-Quince'!$C:$C,0)),"")</f>
        <v/>
      </c>
      <c r="D39" s="98"/>
      <c r="E39" s="92"/>
      <c r="F39" s="92" t="str">
        <f t="shared" ref="F39:F40" si="81">IF(I39="Otras Tecnologías","GoldenSource","")</f>
        <v/>
      </c>
      <c r="G39" s="98" t="s">
        <v>82</v>
      </c>
      <c r="H39" s="92"/>
      <c r="I39" s="70" t="str">
        <f t="shared" ref="I39:I40" si="82">IF(OR(H39="Codificación",H39="Pruebas"),"Otras Tecnologías","-")</f>
        <v>-</v>
      </c>
      <c r="J39" s="98">
        <f t="shared" si="69"/>
        <v>0</v>
      </c>
      <c r="K39" s="92"/>
      <c r="L39" s="90"/>
      <c r="M39" s="90"/>
      <c r="N39" s="91"/>
      <c r="O39" s="91"/>
      <c r="P39" s="92"/>
      <c r="Q39" s="92"/>
      <c r="R39" s="92"/>
      <c r="S39" s="92"/>
      <c r="T39" s="92"/>
      <c r="U39" s="91"/>
      <c r="V39" s="91"/>
      <c r="W39" s="92"/>
      <c r="X39" s="92"/>
      <c r="Y39" s="93"/>
      <c r="Z39" s="94"/>
      <c r="AA39" s="88"/>
      <c r="AB39" s="92" t="str">
        <f t="array" ref="AB39">IFERROR(INDEX('Resument Total - Ofertas Proyec'!$B:$B,MATCH(AE39,'Resument Total - Ofertas Proyec'!$D:$D,0)),"")</f>
        <v/>
      </c>
      <c r="AC39" s="92" t="str">
        <f t="array" ref="AC39">IFERROR(INDEX('Imputación TR - Proyecto-Quince'!$B:$B,MATCH(AE39,'Imputación TR - Proyecto-Quince'!$C:$C,0)),"")</f>
        <v/>
      </c>
      <c r="AD39" s="92"/>
      <c r="AE39" s="92"/>
      <c r="AF39" s="92" t="str">
        <f t="shared" si="70"/>
        <v/>
      </c>
      <c r="AG39" s="98" t="s">
        <v>82</v>
      </c>
      <c r="AH39" s="92"/>
      <c r="AI39" s="70" t="str">
        <f t="shared" si="71"/>
        <v>-</v>
      </c>
      <c r="AJ39" s="98">
        <f t="shared" si="72"/>
        <v>0</v>
      </c>
      <c r="AK39" s="98"/>
      <c r="AL39" s="98"/>
      <c r="AM39" s="97"/>
      <c r="AN39" s="97"/>
      <c r="AO39" s="98"/>
      <c r="AP39" s="98"/>
      <c r="AQ39" s="98"/>
      <c r="AR39" s="98"/>
      <c r="AS39" s="98"/>
      <c r="AT39" s="97"/>
      <c r="AU39" s="97"/>
      <c r="AV39" s="98"/>
      <c r="AW39" s="98"/>
      <c r="AX39" s="98"/>
      <c r="AY39" s="137"/>
      <c r="AZ39" s="94"/>
      <c r="BA39" s="88"/>
      <c r="BB39" s="92" t="str">
        <f t="array" ref="BB39">IFERROR(INDEX('Resument Total - Ofertas Proyec'!$B:$B,MATCH(BE39,'Resument Total - Ofertas Proyec'!$D:$D,0)),"")</f>
        <v/>
      </c>
      <c r="BC39" s="92" t="str">
        <f t="array" ref="BC39">IFERROR(INDEX('Imputación TR - Proyecto-Quince'!$B:$B,MATCH(BE39,'Imputación TR - Proyecto-Quince'!$C:$C,0)),"")</f>
        <v/>
      </c>
      <c r="BD39" s="92"/>
      <c r="BE39" s="92"/>
      <c r="BF39" s="92" t="str">
        <f t="shared" si="73"/>
        <v/>
      </c>
      <c r="BG39" s="98" t="s">
        <v>82</v>
      </c>
      <c r="BH39" s="92"/>
      <c r="BI39" s="70" t="str">
        <f t="shared" si="74"/>
        <v>-</v>
      </c>
      <c r="BJ39" s="98">
        <f t="shared" si="75"/>
        <v>0</v>
      </c>
      <c r="BK39" s="99"/>
      <c r="BL39" s="99"/>
      <c r="BM39" s="99"/>
      <c r="BN39" s="92"/>
      <c r="BO39" s="92"/>
      <c r="BP39" s="92"/>
      <c r="BQ39" s="92"/>
      <c r="BR39" s="92"/>
      <c r="BS39" s="99"/>
      <c r="BT39" s="99"/>
      <c r="BU39" s="92"/>
      <c r="BV39" s="92"/>
      <c r="BW39" s="92"/>
      <c r="BX39" s="92"/>
      <c r="BY39" s="92"/>
      <c r="BZ39" s="94"/>
      <c r="CA39" s="88"/>
      <c r="CB39" s="92" t="str">
        <f t="array" ref="CB39">IFERROR(INDEX('Resument Total - Ofertas Proyec'!$B:$B,MATCH(CE39,'Resument Total - Ofertas Proyec'!$D:$D,0)),"")</f>
        <v/>
      </c>
      <c r="CC39" s="92" t="str">
        <f t="array" ref="CC39">IFERROR(INDEX('Imputación TR - Proyecto-Quince'!$B:$B,MATCH(CE39,'Imputación TR - Proyecto-Quince'!$C:$C,0)),"")</f>
        <v/>
      </c>
      <c r="CD39" s="92"/>
      <c r="CE39" s="92"/>
      <c r="CF39" s="92" t="str">
        <f t="shared" si="56"/>
        <v/>
      </c>
      <c r="CG39" s="98" t="s">
        <v>82</v>
      </c>
      <c r="CH39" s="92"/>
      <c r="CI39" s="70" t="str">
        <f t="shared" si="76"/>
        <v>-</v>
      </c>
      <c r="CJ39" s="98">
        <f t="shared" si="77"/>
        <v>0</v>
      </c>
      <c r="CK39" s="99"/>
      <c r="CL39" s="99"/>
      <c r="CM39" s="92"/>
      <c r="CN39" s="92"/>
      <c r="CO39" s="92"/>
      <c r="CP39" s="92"/>
      <c r="CQ39" s="92"/>
      <c r="CR39" s="99"/>
      <c r="CS39" s="99"/>
      <c r="CT39" s="92"/>
      <c r="CU39" s="92"/>
      <c r="CV39" s="92"/>
      <c r="CW39" s="92"/>
      <c r="CX39" s="92"/>
      <c r="CY39" s="99"/>
      <c r="CZ39" s="100"/>
      <c r="DA39" s="94"/>
      <c r="DB39" s="88"/>
      <c r="DC39" s="92" t="str">
        <f t="array" ref="DC39">IFERROR(INDEX('Resument Total - Ofertas Proyec'!$B:$B,MATCH(DF39,'Resument Total - Ofertas Proyec'!$D:$D,0)),"")</f>
        <v/>
      </c>
      <c r="DD39" s="92" t="str">
        <f t="array" ref="DD39">IFERROR(INDEX('Imputación TR - Proyecto-Quince'!$B:$B,MATCH(DF39,'Imputación TR - Proyecto-Quince'!$C:$C,0)),"")</f>
        <v/>
      </c>
      <c r="DE39" s="92"/>
      <c r="DF39" s="92"/>
      <c r="DG39" s="92" t="str">
        <f t="shared" si="59"/>
        <v/>
      </c>
      <c r="DH39" s="98" t="s">
        <v>82</v>
      </c>
      <c r="DI39" s="92"/>
      <c r="DJ39" s="70" t="str">
        <f t="shared" si="60"/>
        <v>-</v>
      </c>
      <c r="DK39" s="98">
        <f t="shared" si="78"/>
        <v>0</v>
      </c>
      <c r="DL39" s="92"/>
      <c r="DM39" s="92"/>
      <c r="DN39" s="92"/>
      <c r="DO39" s="92"/>
      <c r="DP39" s="92"/>
      <c r="DQ39" s="99"/>
      <c r="DR39" s="99"/>
      <c r="DS39" s="101"/>
      <c r="DT39" s="101"/>
      <c r="DU39" s="101"/>
      <c r="DV39" s="101"/>
      <c r="DW39" s="101"/>
      <c r="DX39" s="103"/>
      <c r="DY39" s="103"/>
      <c r="DZ39" s="101"/>
      <c r="EA39" s="94"/>
      <c r="EB39" s="88"/>
      <c r="EC39" s="92" t="str">
        <f t="array" ref="EC39">IFERROR(INDEX('Resument Total - Ofertas Proyec'!$B:$B,MATCH(EF39,'Resument Total - Ofertas Proyec'!$D:$D,0)),"")</f>
        <v/>
      </c>
      <c r="ED39" s="92" t="str">
        <f t="array" ref="ED39">IFERROR(INDEX('Imputación TR - Proyecto-Quince'!$B:$B,MATCH(EF39,'Imputación TR - Proyecto-Quince'!$C:$C,0)),"")</f>
        <v/>
      </c>
      <c r="EE39" s="92"/>
      <c r="EF39" s="92"/>
      <c r="EG39" s="92" t="str">
        <f t="shared" si="68"/>
        <v/>
      </c>
      <c r="EH39" s="98" t="s">
        <v>82</v>
      </c>
      <c r="EI39" s="92"/>
      <c r="EJ39" s="70" t="str">
        <f t="shared" si="79"/>
        <v>-</v>
      </c>
      <c r="EK39" s="98">
        <f t="shared" si="80"/>
        <v>0</v>
      </c>
      <c r="EL39" s="92"/>
      <c r="EM39" s="92"/>
      <c r="EN39" s="92"/>
      <c r="EO39" s="92"/>
      <c r="EP39" s="99"/>
      <c r="EQ39" s="99"/>
      <c r="ER39" s="101"/>
      <c r="ES39" s="101"/>
      <c r="ET39" s="101"/>
      <c r="EU39" s="101"/>
      <c r="EV39" s="101"/>
      <c r="EW39" s="103"/>
      <c r="EX39" s="103"/>
      <c r="EY39" s="101"/>
      <c r="EZ39" s="101"/>
    </row>
    <row r="40" ht="18.0" customHeight="1">
      <c r="A40" s="107"/>
      <c r="B40" s="120" t="str">
        <f t="array" ref="B40">IFERROR(INDEX('Imputación TR - Proyecto-Quince'!$A:$A,MATCH(E40,'Imputación TR - Proyecto-Quince'!$C:$C,0)),"")</f>
        <v/>
      </c>
      <c r="C40" s="120" t="str">
        <f t="array" ref="C40">IFERROR(INDEX('Imputación TR - Proyecto-Quince'!$B:$B,MATCH(E40,'Imputación TR - Proyecto-Quince'!$C:$C,0)),"")</f>
        <v/>
      </c>
      <c r="D40" s="120"/>
      <c r="E40" s="116"/>
      <c r="F40" s="116" t="str">
        <f t="shared" si="81"/>
        <v/>
      </c>
      <c r="G40" s="120" t="s">
        <v>82</v>
      </c>
      <c r="H40" s="116"/>
      <c r="I40" s="113" t="str">
        <f t="shared" si="82"/>
        <v>-</v>
      </c>
      <c r="J40" s="120">
        <f t="shared" si="69"/>
        <v>0</v>
      </c>
      <c r="K40" s="116"/>
      <c r="L40" s="114"/>
      <c r="M40" s="114"/>
      <c r="N40" s="115"/>
      <c r="O40" s="115"/>
      <c r="P40" s="116"/>
      <c r="Q40" s="116"/>
      <c r="R40" s="116"/>
      <c r="S40" s="116"/>
      <c r="T40" s="116"/>
      <c r="U40" s="115"/>
      <c r="V40" s="115"/>
      <c r="W40" s="116"/>
      <c r="X40" s="116"/>
      <c r="Y40" s="117"/>
      <c r="Z40" s="94"/>
      <c r="AA40" s="107"/>
      <c r="AB40" s="116" t="str">
        <f t="array" ref="AB40">IFERROR(INDEX('Resument Total - Ofertas Proyec'!$B:$B,MATCH(AE40,'Resument Total - Ofertas Proyec'!$D:$D,0)),"")</f>
        <v/>
      </c>
      <c r="AC40" s="116" t="str">
        <f t="array" ref="AC40">IFERROR(INDEX('Imputación TR - Proyecto-Quince'!$B:$B,MATCH(AE40,'Imputación TR - Proyecto-Quince'!$C:$C,0)),"")</f>
        <v/>
      </c>
      <c r="AD40" s="116"/>
      <c r="AE40" s="116"/>
      <c r="AF40" s="116" t="str">
        <f t="shared" si="70"/>
        <v/>
      </c>
      <c r="AG40" s="120" t="s">
        <v>82</v>
      </c>
      <c r="AH40" s="116"/>
      <c r="AI40" s="113" t="str">
        <f t="shared" si="71"/>
        <v>-</v>
      </c>
      <c r="AJ40" s="120">
        <f t="shared" si="72"/>
        <v>0</v>
      </c>
      <c r="AK40" s="120"/>
      <c r="AL40" s="120"/>
      <c r="AM40" s="121"/>
      <c r="AN40" s="121"/>
      <c r="AO40" s="120"/>
      <c r="AP40" s="120"/>
      <c r="AQ40" s="120"/>
      <c r="AR40" s="120"/>
      <c r="AS40" s="120"/>
      <c r="AT40" s="121"/>
      <c r="AU40" s="121"/>
      <c r="AV40" s="120"/>
      <c r="AW40" s="120"/>
      <c r="AX40" s="120"/>
      <c r="AY40" s="142"/>
      <c r="AZ40" s="94"/>
      <c r="BA40" s="107"/>
      <c r="BB40" s="116" t="str">
        <f t="array" ref="BB40">IFERROR(INDEX('Resument Total - Ofertas Proyec'!$B:$B,MATCH(BE40,'Resument Total - Ofertas Proyec'!$D:$D,0)),"")</f>
        <v/>
      </c>
      <c r="BC40" s="116" t="str">
        <f t="array" ref="BC40">IFERROR(INDEX('Imputación TR - Proyecto-Quince'!$B:$B,MATCH(BE40,'Imputación TR - Proyecto-Quince'!$C:$C,0)),"")</f>
        <v/>
      </c>
      <c r="BD40" s="116"/>
      <c r="BE40" s="116"/>
      <c r="BF40" s="116" t="str">
        <f t="shared" si="73"/>
        <v/>
      </c>
      <c r="BG40" s="120" t="s">
        <v>82</v>
      </c>
      <c r="BH40" s="116"/>
      <c r="BI40" s="113" t="str">
        <f t="shared" si="74"/>
        <v>-</v>
      </c>
      <c r="BJ40" s="120">
        <f t="shared" si="75"/>
        <v>0</v>
      </c>
      <c r="BK40" s="123"/>
      <c r="BL40" s="123"/>
      <c r="BM40" s="123"/>
      <c r="BN40" s="116"/>
      <c r="BO40" s="116"/>
      <c r="BP40" s="116"/>
      <c r="BQ40" s="116"/>
      <c r="BR40" s="116"/>
      <c r="BS40" s="123"/>
      <c r="BT40" s="123"/>
      <c r="BU40" s="116"/>
      <c r="BV40" s="116"/>
      <c r="BW40" s="116"/>
      <c r="BX40" s="116"/>
      <c r="BY40" s="116"/>
      <c r="BZ40" s="94"/>
      <c r="CA40" s="107"/>
      <c r="CB40" s="116" t="str">
        <f t="array" ref="CB40">IFERROR(INDEX('Resument Total - Ofertas Proyec'!$B:$B,MATCH(CE40,'Resument Total - Ofertas Proyec'!$D:$D,0)),"")</f>
        <v/>
      </c>
      <c r="CC40" s="116" t="str">
        <f t="array" ref="CC40">IFERROR(INDEX('Imputación TR - Proyecto-Quince'!$B:$B,MATCH(CE40,'Imputación TR - Proyecto-Quince'!$C:$C,0)),"")</f>
        <v/>
      </c>
      <c r="CD40" s="116"/>
      <c r="CE40" s="116"/>
      <c r="CF40" s="116" t="str">
        <f t="shared" si="56"/>
        <v/>
      </c>
      <c r="CG40" s="120" t="s">
        <v>82</v>
      </c>
      <c r="CH40" s="116"/>
      <c r="CI40" s="113" t="str">
        <f t="shared" si="76"/>
        <v>-</v>
      </c>
      <c r="CJ40" s="120">
        <f t="shared" si="77"/>
        <v>0</v>
      </c>
      <c r="CK40" s="123"/>
      <c r="CL40" s="123"/>
      <c r="CM40" s="116"/>
      <c r="CN40" s="116"/>
      <c r="CO40" s="116"/>
      <c r="CP40" s="116"/>
      <c r="CQ40" s="116"/>
      <c r="CR40" s="123"/>
      <c r="CS40" s="123"/>
      <c r="CT40" s="116"/>
      <c r="CU40" s="116"/>
      <c r="CV40" s="116"/>
      <c r="CW40" s="116"/>
      <c r="CX40" s="116"/>
      <c r="CY40" s="123"/>
      <c r="CZ40" s="124"/>
      <c r="DA40" s="94"/>
      <c r="DB40" s="107"/>
      <c r="DC40" s="116" t="str">
        <f t="array" ref="DC40">IFERROR(INDEX('Resument Total - Ofertas Proyec'!$B:$B,MATCH(DF40,'Resument Total - Ofertas Proyec'!$D:$D,0)),"")</f>
        <v/>
      </c>
      <c r="DD40" s="116" t="str">
        <f t="array" ref="DD40">IFERROR(INDEX('Imputación TR - Proyecto-Quince'!$B:$B,MATCH(DF40,'Imputación TR - Proyecto-Quince'!$C:$C,0)),"")</f>
        <v/>
      </c>
      <c r="DE40" s="116"/>
      <c r="DF40" s="116"/>
      <c r="DG40" s="116" t="str">
        <f t="shared" si="59"/>
        <v/>
      </c>
      <c r="DH40" s="120" t="s">
        <v>82</v>
      </c>
      <c r="DI40" s="116"/>
      <c r="DJ40" s="113" t="str">
        <f t="shared" si="60"/>
        <v>-</v>
      </c>
      <c r="DK40" s="120">
        <f t="shared" si="78"/>
        <v>0</v>
      </c>
      <c r="DL40" s="116"/>
      <c r="DM40" s="116"/>
      <c r="DN40" s="116"/>
      <c r="DO40" s="116"/>
      <c r="DP40" s="116"/>
      <c r="DQ40" s="123"/>
      <c r="DR40" s="123"/>
      <c r="DS40" s="125"/>
      <c r="DT40" s="125"/>
      <c r="DU40" s="125"/>
      <c r="DV40" s="125"/>
      <c r="DW40" s="125"/>
      <c r="DX40" s="126"/>
      <c r="DY40" s="126"/>
      <c r="DZ40" s="125"/>
      <c r="EA40" s="94"/>
      <c r="EB40" s="107"/>
      <c r="EC40" s="116" t="str">
        <f t="array" ref="EC40">IFERROR(INDEX('Resument Total - Ofertas Proyec'!$B:$B,MATCH(EF40,'Resument Total - Ofertas Proyec'!$D:$D,0)),"")</f>
        <v/>
      </c>
      <c r="ED40" s="116" t="str">
        <f t="array" ref="ED40">IFERROR(INDEX('Imputación TR - Proyecto-Quince'!$B:$B,MATCH(EF40,'Imputación TR - Proyecto-Quince'!$C:$C,0)),"")</f>
        <v/>
      </c>
      <c r="EE40" s="116"/>
      <c r="EF40" s="116"/>
      <c r="EG40" s="116" t="str">
        <f t="shared" si="68"/>
        <v/>
      </c>
      <c r="EH40" s="120" t="s">
        <v>82</v>
      </c>
      <c r="EI40" s="116"/>
      <c r="EJ40" s="113" t="str">
        <f t="shared" si="79"/>
        <v>-</v>
      </c>
      <c r="EK40" s="120">
        <f t="shared" si="80"/>
        <v>0</v>
      </c>
      <c r="EL40" s="116"/>
      <c r="EM40" s="116"/>
      <c r="EN40" s="116"/>
      <c r="EO40" s="116"/>
      <c r="EP40" s="123"/>
      <c r="EQ40" s="123"/>
      <c r="ER40" s="125"/>
      <c r="ES40" s="125"/>
      <c r="ET40" s="125"/>
      <c r="EU40" s="125"/>
      <c r="EV40" s="125"/>
      <c r="EW40" s="126"/>
      <c r="EX40" s="126"/>
      <c r="EY40" s="125"/>
      <c r="EZ40" s="125"/>
    </row>
    <row r="41" ht="18.0" customHeight="1">
      <c r="A41" s="55" t="s">
        <v>103</v>
      </c>
      <c r="B41" s="56" t="str">
        <f t="array" ref="B41">IFERROR(INDEX('Imputación TR - Proyecto-Quince'!$A:$A,MATCH(E41,'Imputación TR - Proyecto-Quince'!$C:$C,0)),"")</f>
        <v/>
      </c>
      <c r="C41" s="56"/>
      <c r="D41" s="57" t="s">
        <v>64</v>
      </c>
      <c r="E41" s="58"/>
      <c r="F41" s="58"/>
      <c r="G41" s="57" t="s">
        <v>80</v>
      </c>
      <c r="H41" s="59" t="s">
        <v>81</v>
      </c>
      <c r="I41" s="60" t="s">
        <v>82</v>
      </c>
      <c r="J41" s="57">
        <f t="shared" si="69"/>
        <v>87</v>
      </c>
      <c r="K41" s="61">
        <v>9.0</v>
      </c>
      <c r="L41" s="62">
        <v>9.0</v>
      </c>
      <c r="M41" s="62"/>
      <c r="N41" s="63"/>
      <c r="O41" s="63"/>
      <c r="P41" s="64">
        <v>9.0</v>
      </c>
      <c r="Q41" s="64">
        <v>9.0</v>
      </c>
      <c r="R41" s="64">
        <v>9.0</v>
      </c>
      <c r="S41" s="64">
        <v>9.0</v>
      </c>
      <c r="T41" s="64">
        <v>6.0</v>
      </c>
      <c r="U41" s="63"/>
      <c r="V41" s="63"/>
      <c r="W41" s="64">
        <v>9.0</v>
      </c>
      <c r="X41" s="64">
        <v>9.0</v>
      </c>
      <c r="Y41" s="65">
        <v>9.0</v>
      </c>
      <c r="Z41" s="66"/>
      <c r="AA41" s="55" t="s">
        <v>103</v>
      </c>
      <c r="AB41" s="67" t="str">
        <f t="array" ref="AB41">IFERROR(INDEX('Resument Total - Ofertas Proyec'!$B:$B,MATCH(AE41,'Resument Total - Ofertas Proyec'!$D:$D,0)),"")</f>
        <v>SDATOOL-34546</v>
      </c>
      <c r="AC41" s="67" t="str">
        <f t="array" ref="AC41">IFERROR(INDEX('Imputación TR - Proyecto-Quince'!$B:$B,MATCH(AE41,'Imputación TR - Proyecto-Quince'!$C:$C,0)),"")</f>
        <v>Calypso IV. Migración Abaco a Calypso F4 Swaps.</v>
      </c>
      <c r="AD41" s="95"/>
      <c r="AE41" s="24" t="s">
        <v>13</v>
      </c>
      <c r="AF41" s="46" t="str">
        <f t="shared" si="70"/>
        <v/>
      </c>
      <c r="AG41" s="69" t="s">
        <v>83</v>
      </c>
      <c r="AH41" s="64" t="s">
        <v>81</v>
      </c>
      <c r="AI41" s="60" t="str">
        <f t="shared" si="71"/>
        <v>-</v>
      </c>
      <c r="AJ41" s="46">
        <f t="shared" si="72"/>
        <v>110</v>
      </c>
      <c r="AK41" s="64">
        <v>10.0</v>
      </c>
      <c r="AL41" s="64">
        <v>10.0</v>
      </c>
      <c r="AM41" s="80"/>
      <c r="AN41" s="80"/>
      <c r="AO41" s="64">
        <v>10.0</v>
      </c>
      <c r="AP41" s="64">
        <v>10.0</v>
      </c>
      <c r="AQ41" s="64">
        <v>10.0</v>
      </c>
      <c r="AR41" s="64">
        <v>10.0</v>
      </c>
      <c r="AS41" s="64">
        <v>10.0</v>
      </c>
      <c r="AT41" s="80"/>
      <c r="AU41" s="80"/>
      <c r="AV41" s="64">
        <v>10.0</v>
      </c>
      <c r="AW41" s="64">
        <v>10.0</v>
      </c>
      <c r="AX41" s="64">
        <v>10.0</v>
      </c>
      <c r="AY41" s="64">
        <v>10.0</v>
      </c>
      <c r="AZ41" s="66"/>
      <c r="BA41" s="55" t="s">
        <v>103</v>
      </c>
      <c r="BB41" s="67" t="str">
        <f t="array" ref="BB41">IFERROR(INDEX('Resument Total - Ofertas Proyec'!$B:$B,MATCH(BE41,'Resument Total - Ofertas Proyec'!$D:$D,0)),"")</f>
        <v>SDATOOL-34546</v>
      </c>
      <c r="BC41" s="67" t="str">
        <f t="array" ref="BC41">IFERROR(INDEX('Imputación TR - Proyecto-Quince'!$B:$B,MATCH(BE41,'Imputación TR - Proyecto-Quince'!$C:$C,0)),"")</f>
        <v>Calypso IV. Migración Abaco a Calypso F4 Swaps.</v>
      </c>
      <c r="BD41" s="95"/>
      <c r="BE41" s="24" t="s">
        <v>13</v>
      </c>
      <c r="BF41" s="46" t="str">
        <f t="shared" si="73"/>
        <v>GoldenSource</v>
      </c>
      <c r="BG41" s="77" t="s">
        <v>83</v>
      </c>
      <c r="BH41" s="64" t="s">
        <v>86</v>
      </c>
      <c r="BI41" s="60" t="str">
        <f t="shared" si="74"/>
        <v>Otras Tecnologías</v>
      </c>
      <c r="BJ41" s="46">
        <f t="shared" si="75"/>
        <v>5</v>
      </c>
      <c r="BK41" s="80"/>
      <c r="BL41" s="80"/>
      <c r="BM41" s="80"/>
      <c r="BN41" s="64">
        <v>1.0</v>
      </c>
      <c r="BO41" s="64">
        <v>1.0</v>
      </c>
      <c r="BP41" s="64">
        <v>1.0</v>
      </c>
      <c r="BQ41" s="64">
        <v>1.0</v>
      </c>
      <c r="BR41" s="64">
        <v>1.0</v>
      </c>
      <c r="BS41" s="80"/>
      <c r="BT41" s="80"/>
      <c r="BU41" s="59"/>
      <c r="BV41" s="59"/>
      <c r="BW41" s="59"/>
      <c r="BX41" s="59"/>
      <c r="BY41" s="59"/>
      <c r="BZ41" s="66"/>
      <c r="CA41" s="55" t="s">
        <v>103</v>
      </c>
      <c r="CB41" s="67" t="str">
        <f t="array" ref="CB41">IFERROR(INDEX('Resument Total - Ofertas Proyec'!$B:$B,MATCH(CE41,'Resument Total - Ofertas Proyec'!$D:$D,0)),"")</f>
        <v>SDATOOL-49629</v>
      </c>
      <c r="CC41" s="67" t="str">
        <f t="array" ref="CC41">IFERROR(INDEX('Imputación TR - Proyecto-Quince'!$B:$B,MATCH(CE41,'Imputación TR - Proyecto-Quince'!$C:$C,0)),"")</f>
        <v>BSI 2.0. Cargador genérico Legal Agreements</v>
      </c>
      <c r="CD41" s="95"/>
      <c r="CE41" s="24" t="s">
        <v>24</v>
      </c>
      <c r="CF41" s="46" t="str">
        <f t="shared" si="56"/>
        <v>GoldenSource</v>
      </c>
      <c r="CG41" s="76" t="s">
        <v>83</v>
      </c>
      <c r="CH41" s="64" t="s">
        <v>86</v>
      </c>
      <c r="CI41" s="60" t="str">
        <f t="shared" si="76"/>
        <v>Otras Tecnologías</v>
      </c>
      <c r="CJ41" s="46">
        <f t="shared" si="77"/>
        <v>150</v>
      </c>
      <c r="CK41" s="80"/>
      <c r="CL41" s="80"/>
      <c r="CM41" s="64">
        <v>15.0</v>
      </c>
      <c r="CN41" s="64">
        <v>15.0</v>
      </c>
      <c r="CO41" s="64">
        <v>15.0</v>
      </c>
      <c r="CP41" s="64">
        <v>15.0</v>
      </c>
      <c r="CQ41" s="64">
        <v>15.0</v>
      </c>
      <c r="CR41" s="80"/>
      <c r="CS41" s="80"/>
      <c r="CT41" s="64">
        <v>15.0</v>
      </c>
      <c r="CU41" s="64">
        <v>15.0</v>
      </c>
      <c r="CV41" s="64">
        <v>15.0</v>
      </c>
      <c r="CW41" s="64">
        <v>15.0</v>
      </c>
      <c r="CX41" s="64">
        <v>15.0</v>
      </c>
      <c r="CY41" s="80"/>
      <c r="CZ41" s="81"/>
      <c r="DA41" s="66"/>
      <c r="DB41" s="55" t="s">
        <v>103</v>
      </c>
      <c r="DC41" s="67" t="str">
        <f t="array" ref="DC41">IFERROR(INDEX('Resument Total - Ofertas Proyec'!$B:$B,MATCH(DF41,'Resument Total - Ofertas Proyec'!$D:$D,0)),"")</f>
        <v>SDATOOL-51125</v>
      </c>
      <c r="DD41" s="67" t="str">
        <f t="array" ref="DD41">IFERROR(INDEX('Imputación TR - Proyecto-Quince'!$B:$B,MATCH(DF41,'Imputación TR - Proyecto-Quince'!$C:$C,0)),"")</f>
        <v>Migración FX y MM. Apagado Midas - CLS</v>
      </c>
      <c r="DE41" s="95"/>
      <c r="DF41" s="24" t="s">
        <v>36</v>
      </c>
      <c r="DG41" s="46" t="str">
        <f t="shared" si="59"/>
        <v>GoldenSource</v>
      </c>
      <c r="DH41" s="76" t="s">
        <v>83</v>
      </c>
      <c r="DI41" s="64" t="s">
        <v>86</v>
      </c>
      <c r="DJ41" s="60" t="str">
        <f t="shared" si="60"/>
        <v>Otras Tecnologías</v>
      </c>
      <c r="DK41" s="46">
        <f t="shared" si="78"/>
        <v>30</v>
      </c>
      <c r="DL41" s="59"/>
      <c r="DM41" s="59"/>
      <c r="DN41" s="59"/>
      <c r="DO41" s="59"/>
      <c r="DP41" s="59"/>
      <c r="DQ41" s="80"/>
      <c r="DR41" s="80"/>
      <c r="DS41" s="83">
        <v>10.0</v>
      </c>
      <c r="DT41" s="83">
        <v>10.0</v>
      </c>
      <c r="DU41" s="83">
        <v>10.0</v>
      </c>
      <c r="DV41" s="87"/>
      <c r="DW41" s="87"/>
      <c r="DX41" s="82"/>
      <c r="DY41" s="82"/>
      <c r="DZ41" s="87"/>
      <c r="EA41" s="66"/>
      <c r="EB41" s="55" t="s">
        <v>103</v>
      </c>
      <c r="EC41" s="133" t="str">
        <f t="array" ref="EC41">IFERROR(INDEX('Resument Total - Ofertas Proyec'!$B:$B,MATCH(EF41,'Resument Total - Ofertas Proyec'!$D:$D,0)),"")</f>
        <v>SDATOOL-55461</v>
      </c>
      <c r="ED41" s="133" t="str">
        <f t="array" ref="ED41">IFERROR(INDEX('Imputación TR - Proyecto-Quince'!$B:$B,MATCH(EF41,'Imputación TR - Proyecto-Quince'!$C:$C,0)),"")</f>
        <v>Refinamiento Productos Entregados</v>
      </c>
      <c r="EE41" s="95"/>
      <c r="EF41" s="77" t="s">
        <v>61</v>
      </c>
      <c r="EG41" s="77" t="str">
        <f t="shared" si="68"/>
        <v/>
      </c>
      <c r="EH41" s="77" t="s">
        <v>83</v>
      </c>
      <c r="EI41" s="135" t="s">
        <v>81</v>
      </c>
      <c r="EJ41" s="60" t="str">
        <f t="shared" si="79"/>
        <v>-</v>
      </c>
      <c r="EK41" s="46">
        <f t="shared" si="80"/>
        <v>40</v>
      </c>
      <c r="EL41" s="135">
        <v>10.0</v>
      </c>
      <c r="EM41" s="135">
        <v>10.0</v>
      </c>
      <c r="EN41" s="135">
        <v>10.0</v>
      </c>
      <c r="EO41" s="135">
        <v>10.0</v>
      </c>
      <c r="EP41" s="195"/>
      <c r="EQ41" s="195"/>
      <c r="ER41" s="196"/>
      <c r="ES41" s="196"/>
      <c r="ET41" s="196"/>
      <c r="EU41" s="196"/>
      <c r="EV41" s="196"/>
      <c r="EW41" s="197"/>
      <c r="EX41" s="197"/>
      <c r="EY41" s="196"/>
      <c r="EZ41" s="196"/>
    </row>
    <row r="42" ht="18.0" customHeight="1">
      <c r="A42" s="88"/>
      <c r="B42" s="143" t="str">
        <f t="array" ref="B42">IFERROR(INDEX('Imputación TR - Proyecto-Quince'!$A:$A,MATCH(E42,'Imputación TR - Proyecto-Quince'!$C:$C,0)),"")</f>
        <v/>
      </c>
      <c r="C42" s="143" t="str">
        <f t="array" ref="C42">IFERROR(INDEX('Imputación TR - Proyecto-Quince'!$B:$B,MATCH(E42,'Imputación TR - Proyecto-Quince'!$C:$C,0)),"")</f>
        <v/>
      </c>
      <c r="D42" s="98"/>
      <c r="E42" s="143"/>
      <c r="F42" s="143" t="str">
        <f t="shared" ref="F42:F43" si="83">IF(I42="Otras Tecnologías","GoldenSource","")</f>
        <v/>
      </c>
      <c r="G42" s="143" t="s">
        <v>82</v>
      </c>
      <c r="H42" s="98"/>
      <c r="I42" s="70" t="str">
        <f t="shared" ref="I42:I43" si="84">IF(OR(H42="Codificación",H42="Pruebas"),"Otras Tecnologías","-")</f>
        <v>-</v>
      </c>
      <c r="J42" s="143">
        <f t="shared" si="69"/>
        <v>0</v>
      </c>
      <c r="K42" s="92"/>
      <c r="L42" s="90"/>
      <c r="M42" s="90"/>
      <c r="N42" s="91"/>
      <c r="O42" s="91"/>
      <c r="P42" s="92"/>
      <c r="Q42" s="92"/>
      <c r="R42" s="92"/>
      <c r="S42" s="92"/>
      <c r="T42" s="92"/>
      <c r="U42" s="91"/>
      <c r="V42" s="91"/>
      <c r="W42" s="92"/>
      <c r="X42" s="92"/>
      <c r="Y42" s="93"/>
      <c r="Z42" s="94"/>
      <c r="AA42" s="88"/>
      <c r="AB42" s="143" t="str">
        <f t="array" ref="AB42">IFERROR(INDEX('Resument Total - Ofertas Proyec'!$B:$B,MATCH(AE42,'Resument Total - Ofertas Proyec'!$D:$D,0)),"")</f>
        <v/>
      </c>
      <c r="AC42" s="143" t="str">
        <f t="array" ref="AC42">IFERROR(INDEX('Imputación TR - Proyecto-Quince'!$B:$B,MATCH(AE42,'Imputación TR - Proyecto-Quince'!$C:$C,0)),"")</f>
        <v/>
      </c>
      <c r="AD42" s="92"/>
      <c r="AE42" s="143"/>
      <c r="AF42" s="143" t="str">
        <f t="shared" si="70"/>
        <v/>
      </c>
      <c r="AG42" s="143" t="s">
        <v>82</v>
      </c>
      <c r="AH42" s="98"/>
      <c r="AI42" s="70" t="str">
        <f t="shared" si="71"/>
        <v>-</v>
      </c>
      <c r="AJ42" s="143">
        <f t="shared" si="72"/>
        <v>0</v>
      </c>
      <c r="AK42" s="98"/>
      <c r="AL42" s="98"/>
      <c r="AM42" s="97"/>
      <c r="AN42" s="97"/>
      <c r="AO42" s="98"/>
      <c r="AP42" s="98"/>
      <c r="AQ42" s="98"/>
      <c r="AR42" s="98"/>
      <c r="AS42" s="98"/>
      <c r="AT42" s="97"/>
      <c r="AU42" s="97"/>
      <c r="AV42" s="98"/>
      <c r="AW42" s="98"/>
      <c r="AX42" s="98"/>
      <c r="AY42" s="137"/>
      <c r="AZ42" s="94"/>
      <c r="BA42" s="88"/>
      <c r="BB42" s="143" t="str">
        <f t="array" ref="BB42">IFERROR(INDEX('Resument Total - Ofertas Proyec'!$B:$B,MATCH(BE42,'Resument Total - Ofertas Proyec'!$D:$D,0)),"")</f>
        <v>SDATOOL-51125</v>
      </c>
      <c r="BC42" s="143" t="str">
        <f t="array" ref="BC42">IFERROR(INDEX('Imputación TR - Proyecto-Quince'!$B:$B,MATCH(BE42,'Imputación TR - Proyecto-Quince'!$C:$C,0)),"")</f>
        <v>Migración FX y MM. Apagado Midas - Operaciones</v>
      </c>
      <c r="BD42" s="92"/>
      <c r="BE42" s="24" t="s">
        <v>38</v>
      </c>
      <c r="BF42" s="143" t="str">
        <f t="shared" si="73"/>
        <v/>
      </c>
      <c r="BG42" s="77" t="s">
        <v>83</v>
      </c>
      <c r="BH42" s="71" t="s">
        <v>81</v>
      </c>
      <c r="BI42" s="70" t="str">
        <f t="shared" si="74"/>
        <v>-</v>
      </c>
      <c r="BJ42" s="143">
        <f t="shared" si="75"/>
        <v>150</v>
      </c>
      <c r="BK42" s="99"/>
      <c r="BL42" s="99"/>
      <c r="BM42" s="99"/>
      <c r="BN42" s="89">
        <v>15.0</v>
      </c>
      <c r="BO42" s="89">
        <v>15.0</v>
      </c>
      <c r="BP42" s="89">
        <v>15.0</v>
      </c>
      <c r="BQ42" s="89">
        <v>15.0</v>
      </c>
      <c r="BR42" s="89">
        <v>15.0</v>
      </c>
      <c r="BS42" s="99"/>
      <c r="BT42" s="99"/>
      <c r="BU42" s="89">
        <v>15.0</v>
      </c>
      <c r="BV42" s="89">
        <v>15.0</v>
      </c>
      <c r="BW42" s="89">
        <v>15.0</v>
      </c>
      <c r="BX42" s="89">
        <v>15.0</v>
      </c>
      <c r="BY42" s="89">
        <v>15.0</v>
      </c>
      <c r="BZ42" s="94"/>
      <c r="CA42" s="88"/>
      <c r="CB42" s="143" t="str">
        <f t="array" ref="CB42">IFERROR(INDEX('Resument Total - Ofertas Proyec'!$B:$B,MATCH(CE42,'Resument Total - Ofertas Proyec'!$D:$D,0)),"")</f>
        <v/>
      </c>
      <c r="CC42" s="143" t="str">
        <f t="array" ref="CC42">IFERROR(INDEX('Imputación TR - Proyecto-Quince'!$B:$B,MATCH(CE42,'Imputación TR - Proyecto-Quince'!$C:$C,0)),"")</f>
        <v/>
      </c>
      <c r="CD42" s="92"/>
      <c r="CE42" s="143"/>
      <c r="CF42" s="143" t="str">
        <f t="shared" si="56"/>
        <v/>
      </c>
      <c r="CG42" s="143" t="s">
        <v>82</v>
      </c>
      <c r="CH42" s="98"/>
      <c r="CI42" s="70" t="str">
        <f t="shared" si="76"/>
        <v>-</v>
      </c>
      <c r="CJ42" s="143">
        <f t="shared" si="77"/>
        <v>0</v>
      </c>
      <c r="CK42" s="99"/>
      <c r="CL42" s="99"/>
      <c r="CM42" s="92"/>
      <c r="CN42" s="92"/>
      <c r="CO42" s="92"/>
      <c r="CP42" s="92"/>
      <c r="CQ42" s="92"/>
      <c r="CR42" s="99"/>
      <c r="CS42" s="99"/>
      <c r="CT42" s="92"/>
      <c r="CU42" s="92"/>
      <c r="CV42" s="92"/>
      <c r="CW42" s="92"/>
      <c r="CX42" s="92"/>
      <c r="CY42" s="99"/>
      <c r="CZ42" s="100"/>
      <c r="DA42" s="94"/>
      <c r="DB42" s="88"/>
      <c r="DC42" s="143" t="str">
        <f t="array" ref="DC42">IFERROR(INDEX('Resument Total - Ofertas Proyec'!$B:$B,MATCH(DF42,'Resument Total - Ofertas Proyec'!$D:$D,0)),"")</f>
        <v>SDATOOL-54626</v>
      </c>
      <c r="DD42" s="143" t="str">
        <f t="array" ref="DD42">IFERROR(INDEX('Imputación TR - Proyecto-Quince'!$B:$B,MATCH(DF42,'Imputación TR - Proyecto-Quince'!$C:$C,0)),"")</f>
        <v>Institutional Clients Transversal Tools Plan (eClients)</v>
      </c>
      <c r="DE42" s="92"/>
      <c r="DF42" s="24" t="s">
        <v>18</v>
      </c>
      <c r="DG42" s="143" t="str">
        <f t="shared" si="59"/>
        <v>GoldenSource</v>
      </c>
      <c r="DH42" s="76" t="s">
        <v>83</v>
      </c>
      <c r="DI42" s="71" t="s">
        <v>86</v>
      </c>
      <c r="DJ42" s="70" t="str">
        <f t="shared" si="60"/>
        <v>Otras Tecnologías</v>
      </c>
      <c r="DK42" s="143">
        <f t="shared" si="78"/>
        <v>75</v>
      </c>
      <c r="DL42" s="89">
        <v>15.0</v>
      </c>
      <c r="DM42" s="89">
        <v>15.0</v>
      </c>
      <c r="DN42" s="89">
        <v>15.0</v>
      </c>
      <c r="DO42" s="89">
        <v>15.0</v>
      </c>
      <c r="DP42" s="89">
        <v>15.0</v>
      </c>
      <c r="DQ42" s="99"/>
      <c r="DR42" s="99"/>
      <c r="DS42" s="101"/>
      <c r="DT42" s="101"/>
      <c r="DU42" s="101"/>
      <c r="DV42" s="101"/>
      <c r="DW42" s="101"/>
      <c r="DX42" s="103"/>
      <c r="DY42" s="103"/>
      <c r="DZ42" s="101"/>
      <c r="EA42" s="94"/>
      <c r="EB42" s="88"/>
      <c r="EC42" s="68" t="str">
        <f t="array" ref="EC42">IFERROR(INDEX('Resument Total - Ofertas Proyec'!$B:$B,MATCH(EF42,'Resument Total - Ofertas Proyec'!$D:$D,0)),"")</f>
        <v>SDATOOL-51125</v>
      </c>
      <c r="ED42" s="68" t="str">
        <f t="array" ref="ED42">IFERROR(INDEX('Imputación TR - Proyecto-Quince'!$B:$B,MATCH(EF42,'Imputación TR - Proyecto-Quince'!$C:$C,0)),"")</f>
        <v>Migración FX y MM. Apagado Midas - Operaciones</v>
      </c>
      <c r="EE42" s="138"/>
      <c r="EF42" s="24" t="s">
        <v>38</v>
      </c>
      <c r="EG42" s="24" t="str">
        <f t="shared" si="68"/>
        <v/>
      </c>
      <c r="EH42" s="140" t="s">
        <v>83</v>
      </c>
      <c r="EI42" s="135" t="s">
        <v>81</v>
      </c>
      <c r="EJ42" s="70" t="str">
        <f t="shared" si="79"/>
        <v>-</v>
      </c>
      <c r="EK42" s="143">
        <f t="shared" si="80"/>
        <v>20</v>
      </c>
      <c r="EL42" s="89">
        <v>5.0</v>
      </c>
      <c r="EM42" s="89">
        <v>5.0</v>
      </c>
      <c r="EN42" s="89">
        <v>5.0</v>
      </c>
      <c r="EO42" s="89">
        <v>5.0</v>
      </c>
      <c r="EP42" s="99"/>
      <c r="EQ42" s="99"/>
      <c r="ER42" s="141"/>
      <c r="ES42" s="141"/>
      <c r="ET42" s="141"/>
      <c r="EU42" s="141"/>
      <c r="EV42" s="141"/>
      <c r="EW42" s="103"/>
      <c r="EX42" s="103"/>
      <c r="EY42" s="102"/>
      <c r="EZ42" s="102"/>
    </row>
    <row r="43" ht="18.0" customHeight="1">
      <c r="A43" s="107"/>
      <c r="B43" s="198" t="str">
        <f t="array" ref="B43">IFERROR(INDEX('Imputación TR - Proyecto-Quince'!$A:$A,MATCH(E43,'Imputación TR - Proyecto-Quince'!$C:$C,0)),"")</f>
        <v/>
      </c>
      <c r="C43" s="198" t="str">
        <f t="array" ref="C43">IFERROR(INDEX('Imputación TR - Proyecto-Quince'!$B:$B,MATCH(E43,'Imputación TR - Proyecto-Quince'!$C:$C,0)),"")</f>
        <v/>
      </c>
      <c r="D43" s="199"/>
      <c r="E43" s="198"/>
      <c r="F43" s="198" t="str">
        <f t="shared" si="83"/>
        <v/>
      </c>
      <c r="G43" s="198" t="s">
        <v>82</v>
      </c>
      <c r="H43" s="199"/>
      <c r="I43" s="200" t="str">
        <f t="shared" si="84"/>
        <v>-</v>
      </c>
      <c r="J43" s="198">
        <f t="shared" si="69"/>
        <v>0</v>
      </c>
      <c r="K43" s="201"/>
      <c r="L43" s="202"/>
      <c r="M43" s="202"/>
      <c r="N43" s="203"/>
      <c r="O43" s="203"/>
      <c r="P43" s="201"/>
      <c r="Q43" s="201"/>
      <c r="R43" s="201"/>
      <c r="S43" s="201"/>
      <c r="T43" s="201"/>
      <c r="U43" s="203"/>
      <c r="V43" s="203"/>
      <c r="W43" s="201"/>
      <c r="X43" s="201"/>
      <c r="Y43" s="204"/>
      <c r="Z43" s="205"/>
      <c r="AA43" s="107"/>
      <c r="AB43" s="198" t="str">
        <f t="array" ref="AB43">IFERROR(INDEX('Resument Total - Ofertas Proyec'!$B:$B,MATCH(AE43,'Resument Total - Ofertas Proyec'!$D:$D,0)),"")</f>
        <v/>
      </c>
      <c r="AC43" s="198" t="str">
        <f t="array" ref="AC43">IFERROR(INDEX('Imputación TR - Proyecto-Quince'!$B:$B,MATCH(AE43,'Imputación TR - Proyecto-Quince'!$C:$C,0)),"")</f>
        <v/>
      </c>
      <c r="AD43" s="201"/>
      <c r="AE43" s="198"/>
      <c r="AF43" s="198" t="str">
        <f t="shared" si="70"/>
        <v/>
      </c>
      <c r="AG43" s="198" t="s">
        <v>82</v>
      </c>
      <c r="AH43" s="199"/>
      <c r="AI43" s="200" t="str">
        <f t="shared" si="71"/>
        <v>-</v>
      </c>
      <c r="AJ43" s="198">
        <f t="shared" si="72"/>
        <v>0</v>
      </c>
      <c r="AK43" s="199"/>
      <c r="AL43" s="199"/>
      <c r="AM43" s="206"/>
      <c r="AN43" s="206"/>
      <c r="AO43" s="199"/>
      <c r="AP43" s="199"/>
      <c r="AQ43" s="199"/>
      <c r="AR43" s="199"/>
      <c r="AS43" s="199"/>
      <c r="AT43" s="206"/>
      <c r="AU43" s="206"/>
      <c r="AV43" s="199"/>
      <c r="AW43" s="199"/>
      <c r="AX43" s="199"/>
      <c r="AY43" s="207"/>
      <c r="AZ43" s="205"/>
      <c r="BA43" s="107"/>
      <c r="BB43" s="198" t="str">
        <f t="array" ref="BB43">IFERROR(INDEX('Resument Total - Ofertas Proyec'!$B:$B,MATCH(BE43,'Resument Total - Ofertas Proyec'!$D:$D,0)),"")</f>
        <v/>
      </c>
      <c r="BC43" s="198" t="str">
        <f t="array" ref="BC43">IFERROR(INDEX('Imputación TR - Proyecto-Quince'!$B:$B,MATCH(BE43,'Imputación TR - Proyecto-Quince'!$C:$C,0)),"")</f>
        <v/>
      </c>
      <c r="BD43" s="201"/>
      <c r="BE43" s="198"/>
      <c r="BF43" s="198" t="str">
        <f t="shared" si="73"/>
        <v/>
      </c>
      <c r="BG43" s="198" t="s">
        <v>82</v>
      </c>
      <c r="BH43" s="199"/>
      <c r="BI43" s="200" t="str">
        <f t="shared" si="74"/>
        <v>-</v>
      </c>
      <c r="BJ43" s="198">
        <f t="shared" si="75"/>
        <v>0</v>
      </c>
      <c r="BK43" s="208"/>
      <c r="BL43" s="208"/>
      <c r="BM43" s="208"/>
      <c r="BN43" s="201"/>
      <c r="BO43" s="201"/>
      <c r="BP43" s="201"/>
      <c r="BQ43" s="201"/>
      <c r="BR43" s="201"/>
      <c r="BS43" s="208"/>
      <c r="BT43" s="208"/>
      <c r="BU43" s="201"/>
      <c r="BV43" s="201"/>
      <c r="BW43" s="201"/>
      <c r="BX43" s="201"/>
      <c r="BY43" s="201"/>
      <c r="BZ43" s="205"/>
      <c r="CA43" s="107"/>
      <c r="CB43" s="198" t="str">
        <f t="array" ref="CB43">IFERROR(INDEX('Resument Total - Ofertas Proyec'!$B:$B,MATCH(CE43,'Resument Total - Ofertas Proyec'!$D:$D,0)),"")</f>
        <v/>
      </c>
      <c r="CC43" s="198" t="str">
        <f t="array" ref="CC43">IFERROR(INDEX('Imputación TR - Proyecto-Quince'!$B:$B,MATCH(CE43,'Imputación TR - Proyecto-Quince'!$C:$C,0)),"")</f>
        <v/>
      </c>
      <c r="CD43" s="201"/>
      <c r="CE43" s="198"/>
      <c r="CF43" s="198" t="str">
        <f t="shared" si="56"/>
        <v/>
      </c>
      <c r="CG43" s="198" t="s">
        <v>82</v>
      </c>
      <c r="CH43" s="199"/>
      <c r="CI43" s="200" t="str">
        <f t="shared" si="76"/>
        <v>-</v>
      </c>
      <c r="CJ43" s="198">
        <f t="shared" si="77"/>
        <v>0</v>
      </c>
      <c r="CK43" s="208"/>
      <c r="CL43" s="208"/>
      <c r="CM43" s="201"/>
      <c r="CN43" s="201"/>
      <c r="CO43" s="201"/>
      <c r="CP43" s="201"/>
      <c r="CQ43" s="201"/>
      <c r="CR43" s="208"/>
      <c r="CS43" s="208"/>
      <c r="CT43" s="201"/>
      <c r="CU43" s="201"/>
      <c r="CV43" s="201"/>
      <c r="CW43" s="201"/>
      <c r="CX43" s="201"/>
      <c r="CY43" s="208"/>
      <c r="CZ43" s="209"/>
      <c r="DA43" s="205"/>
      <c r="DB43" s="107"/>
      <c r="DC43" s="198" t="str">
        <f t="array" ref="DC43">IFERROR(INDEX('Resument Total - Ofertas Proyec'!$B:$B,MATCH(DF43,'Resument Total - Ofertas Proyec'!$D:$D,0)),"")</f>
        <v/>
      </c>
      <c r="DD43" s="198" t="str">
        <f t="array" ref="DD43">IFERROR(INDEX('Imputación TR - Proyecto-Quince'!$B:$B,MATCH(DF43,'Imputación TR - Proyecto-Quince'!$C:$C,0)),"")</f>
        <v/>
      </c>
      <c r="DE43" s="193" t="s">
        <v>64</v>
      </c>
      <c r="DF43" s="210"/>
      <c r="DG43" s="210" t="str">
        <f t="shared" si="59"/>
        <v/>
      </c>
      <c r="DH43" s="193" t="s">
        <v>80</v>
      </c>
      <c r="DI43" s="211" t="s">
        <v>81</v>
      </c>
      <c r="DJ43" s="200" t="str">
        <f t="shared" si="60"/>
        <v>-</v>
      </c>
      <c r="DK43" s="198">
        <f t="shared" si="78"/>
        <v>24</v>
      </c>
      <c r="DL43" s="201"/>
      <c r="DM43" s="201"/>
      <c r="DN43" s="201"/>
      <c r="DO43" s="201"/>
      <c r="DP43" s="201"/>
      <c r="DQ43" s="208"/>
      <c r="DR43" s="208"/>
      <c r="DS43" s="212"/>
      <c r="DT43" s="212"/>
      <c r="DU43" s="212"/>
      <c r="DV43" s="213">
        <v>9.0</v>
      </c>
      <c r="DW43" s="213">
        <v>6.0</v>
      </c>
      <c r="DX43" s="214"/>
      <c r="DY43" s="214"/>
      <c r="DZ43" s="213">
        <v>9.0</v>
      </c>
      <c r="EA43" s="205"/>
      <c r="EB43" s="107"/>
      <c r="EC43" s="198" t="str">
        <f t="array" ref="EC43">IFERROR(INDEX('Resument Total - Ofertas Proyec'!$B:$B,MATCH(EF43,'Resument Total - Ofertas Proyec'!$D:$D,0)),"")</f>
        <v/>
      </c>
      <c r="ED43" s="198" t="str">
        <f t="array" ref="ED43">IFERROR(INDEX('Imputación TR - Proyecto-Quince'!$B:$B,MATCH(EF43,'Imputación TR - Proyecto-Quince'!$C:$C,0)),"")</f>
        <v/>
      </c>
      <c r="EE43" s="110" t="s">
        <v>64</v>
      </c>
      <c r="EF43" s="119"/>
      <c r="EG43" s="119" t="s">
        <v>88</v>
      </c>
      <c r="EH43" s="112" t="s">
        <v>80</v>
      </c>
      <c r="EI43" s="110" t="s">
        <v>81</v>
      </c>
      <c r="EJ43" s="200" t="str">
        <f t="shared" si="79"/>
        <v>-</v>
      </c>
      <c r="EK43" s="198">
        <f t="shared" si="80"/>
        <v>60</v>
      </c>
      <c r="EL43" s="201"/>
      <c r="EM43" s="201"/>
      <c r="EN43" s="201"/>
      <c r="EO43" s="201"/>
      <c r="EP43" s="208"/>
      <c r="EQ43" s="208"/>
      <c r="ER43" s="213">
        <v>9.0</v>
      </c>
      <c r="ES43" s="213">
        <v>9.0</v>
      </c>
      <c r="ET43" s="213">
        <v>9.0</v>
      </c>
      <c r="EU43" s="213">
        <v>9.0</v>
      </c>
      <c r="EV43" s="213">
        <v>6.0</v>
      </c>
      <c r="EW43" s="214"/>
      <c r="EX43" s="214"/>
      <c r="EY43" s="213">
        <v>9.0</v>
      </c>
      <c r="EZ43" s="213">
        <v>9.0</v>
      </c>
    </row>
    <row r="44" ht="18.0" customHeight="1">
      <c r="A44" s="215" t="s">
        <v>104</v>
      </c>
      <c r="B44" s="216" t="str">
        <f t="array" ref="B44">IFERROR(INDEX('Imputación TR - Proyecto-Quince'!$A:$A,MATCH(E44,'Imputación TR - Proyecto-Quince'!$C:$C,0)),"")</f>
        <v/>
      </c>
      <c r="C44" s="216"/>
      <c r="D44" s="75" t="s">
        <v>64</v>
      </c>
      <c r="E44" s="95"/>
      <c r="F44" s="95"/>
      <c r="G44" s="75" t="s">
        <v>80</v>
      </c>
      <c r="H44" s="78" t="s">
        <v>81</v>
      </c>
      <c r="I44" s="96" t="s">
        <v>82</v>
      </c>
      <c r="J44" s="75">
        <f t="shared" si="69"/>
        <v>60</v>
      </c>
      <c r="K44" s="138">
        <v>9.0</v>
      </c>
      <c r="L44" s="217">
        <v>9.0</v>
      </c>
      <c r="M44" s="217"/>
      <c r="N44" s="218"/>
      <c r="O44" s="218"/>
      <c r="P44" s="135">
        <v>9.0</v>
      </c>
      <c r="Q44" s="135">
        <v>9.0</v>
      </c>
      <c r="R44" s="135">
        <v>9.0</v>
      </c>
      <c r="S44" s="135">
        <v>9.0</v>
      </c>
      <c r="T44" s="135">
        <v>6.0</v>
      </c>
      <c r="U44" s="218"/>
      <c r="V44" s="218"/>
      <c r="W44" s="135"/>
      <c r="X44" s="135"/>
      <c r="Y44" s="219"/>
      <c r="Z44" s="220"/>
      <c r="AA44" s="215" t="s">
        <v>104</v>
      </c>
      <c r="AB44" s="133" t="str">
        <f t="array" ref="AB44">IFERROR(INDEX('Resument Total - Ofertas Proyec'!$B:$B,MATCH(AE44,'Resument Total - Ofertas Proyec'!$D:$D,0)),"")</f>
        <v>SDATOOL-42226</v>
      </c>
      <c r="AC44" s="133" t="str">
        <f t="array" ref="AC44">IFERROR(INDEX('Imputación TR - Proyecto-Quince'!$B:$B,MATCH(AE44,'Imputación TR - Proyecto-Quince'!$C:$C,0)),"")</f>
        <v>Strategic Boost Alta y Mantenimiento de Emisiones y Emisores.</v>
      </c>
      <c r="AD44" s="95"/>
      <c r="AE44" s="136" t="s">
        <v>42</v>
      </c>
      <c r="AF44" s="78" t="str">
        <f t="shared" si="70"/>
        <v/>
      </c>
      <c r="AG44" s="77" t="s">
        <v>83</v>
      </c>
      <c r="AH44" s="135" t="s">
        <v>81</v>
      </c>
      <c r="AI44" s="96" t="str">
        <f t="shared" si="71"/>
        <v>-</v>
      </c>
      <c r="AJ44" s="78">
        <f t="shared" si="72"/>
        <v>110</v>
      </c>
      <c r="AK44" s="135">
        <v>10.0</v>
      </c>
      <c r="AL44" s="135">
        <v>10.0</v>
      </c>
      <c r="AM44" s="195"/>
      <c r="AN44" s="195"/>
      <c r="AO44" s="135">
        <v>10.0</v>
      </c>
      <c r="AP44" s="135">
        <v>10.0</v>
      </c>
      <c r="AQ44" s="135">
        <v>10.0</v>
      </c>
      <c r="AR44" s="135">
        <v>10.0</v>
      </c>
      <c r="AS44" s="135">
        <v>10.0</v>
      </c>
      <c r="AT44" s="195"/>
      <c r="AU44" s="195"/>
      <c r="AV44" s="135">
        <v>10.0</v>
      </c>
      <c r="AW44" s="135">
        <v>10.0</v>
      </c>
      <c r="AX44" s="135">
        <v>10.0</v>
      </c>
      <c r="AY44" s="135">
        <v>10.0</v>
      </c>
      <c r="AZ44" s="220"/>
      <c r="BA44" s="215" t="s">
        <v>104</v>
      </c>
      <c r="BB44" s="133" t="str">
        <f t="array" ref="BB44">IFERROR(INDEX('Resument Total - Ofertas Proyec'!$B:$B,MATCH(BE44,'Resument Total - Ofertas Proyec'!$D:$D,0)),"")</f>
        <v>SDATOOL-42226</v>
      </c>
      <c r="BC44" s="133" t="str">
        <f t="array" ref="BC44">IFERROR(INDEX('Imputación TR - Proyecto-Quince'!$B:$B,MATCH(BE44,'Imputación TR - Proyecto-Quince'!$C:$C,0)),"")</f>
        <v>Strategic Boost Alta y Mantenimiento de Emisiones y Emisores.</v>
      </c>
      <c r="BD44" s="95"/>
      <c r="BE44" s="136" t="s">
        <v>41</v>
      </c>
      <c r="BF44" s="78" t="str">
        <f t="shared" si="73"/>
        <v>GoldenSource</v>
      </c>
      <c r="BG44" s="77" t="s">
        <v>83</v>
      </c>
      <c r="BH44" s="135" t="s">
        <v>84</v>
      </c>
      <c r="BI44" s="96" t="str">
        <f t="shared" si="74"/>
        <v>Otras Tecnologías</v>
      </c>
      <c r="BJ44" s="78">
        <f t="shared" si="75"/>
        <v>50</v>
      </c>
      <c r="BK44" s="195"/>
      <c r="BL44" s="195"/>
      <c r="BM44" s="195"/>
      <c r="BN44" s="135">
        <v>5.0</v>
      </c>
      <c r="BO44" s="135">
        <v>5.0</v>
      </c>
      <c r="BP44" s="135">
        <v>5.0</v>
      </c>
      <c r="BQ44" s="135">
        <v>5.0</v>
      </c>
      <c r="BR44" s="135">
        <v>5.0</v>
      </c>
      <c r="BS44" s="195"/>
      <c r="BT44" s="195"/>
      <c r="BU44" s="135">
        <v>5.0</v>
      </c>
      <c r="BV44" s="135">
        <v>5.0</v>
      </c>
      <c r="BW44" s="135">
        <v>5.0</v>
      </c>
      <c r="BX44" s="135">
        <v>5.0</v>
      </c>
      <c r="BY44" s="135">
        <v>5.0</v>
      </c>
      <c r="BZ44" s="220"/>
      <c r="CA44" s="215" t="s">
        <v>104</v>
      </c>
      <c r="CB44" s="133" t="str">
        <f t="array" ref="CB44">IFERROR(INDEX('Resument Total - Ofertas Proyec'!$B:$B,MATCH(CE44,'Resument Total - Ofertas Proyec'!$D:$D,0)),"")</f>
        <v>SDATOOL-42226</v>
      </c>
      <c r="CC44" s="133" t="str">
        <f t="array" ref="CC44">IFERROR(INDEX('Imputación TR - Proyecto-Quince'!$B:$B,MATCH(CE44,'Imputación TR - Proyecto-Quince'!$C:$C,0)),"")</f>
        <v>Strategic Boost Alta y Mantenimiento de Emisiones y Emisores.</v>
      </c>
      <c r="CD44" s="95"/>
      <c r="CE44" s="136" t="s">
        <v>42</v>
      </c>
      <c r="CF44" s="78" t="str">
        <f t="shared" si="56"/>
        <v>GoldenSource</v>
      </c>
      <c r="CG44" s="135" t="s">
        <v>83</v>
      </c>
      <c r="CH44" s="135" t="s">
        <v>84</v>
      </c>
      <c r="CI44" s="96" t="str">
        <f t="shared" si="76"/>
        <v>Otras Tecnologías</v>
      </c>
      <c r="CJ44" s="78">
        <f t="shared" si="77"/>
        <v>50</v>
      </c>
      <c r="CK44" s="195"/>
      <c r="CL44" s="195"/>
      <c r="CM44" s="135">
        <v>5.0</v>
      </c>
      <c r="CN44" s="135">
        <v>5.0</v>
      </c>
      <c r="CO44" s="135">
        <v>5.0</v>
      </c>
      <c r="CP44" s="135">
        <v>5.0</v>
      </c>
      <c r="CQ44" s="135">
        <v>5.0</v>
      </c>
      <c r="CR44" s="195"/>
      <c r="CS44" s="195"/>
      <c r="CT44" s="135">
        <v>5.0</v>
      </c>
      <c r="CU44" s="135">
        <v>5.0</v>
      </c>
      <c r="CV44" s="135">
        <v>5.0</v>
      </c>
      <c r="CW44" s="135">
        <v>5.0</v>
      </c>
      <c r="CX44" s="135">
        <v>5.0</v>
      </c>
      <c r="CY44" s="195"/>
      <c r="CZ44" s="221"/>
      <c r="DA44" s="220"/>
      <c r="DB44" s="215" t="s">
        <v>104</v>
      </c>
      <c r="DC44" s="133" t="str">
        <f t="array" ref="DC44">IFERROR(INDEX('Resument Total - Ofertas Proyec'!$B:$B,MATCH(DF44,'Resument Total - Ofertas Proyec'!$D:$D,0)),"")</f>
        <v>SDATOOL-42226</v>
      </c>
      <c r="DD44" s="133" t="str">
        <f t="array" ref="DD44">IFERROR(INDEX('Imputación TR - Proyecto-Quince'!$B:$B,MATCH(DF44,'Imputación TR - Proyecto-Quince'!$C:$C,0)),"")</f>
        <v>Strategic Boost Alta y Mantenimiento de Emisiones y Emisores.</v>
      </c>
      <c r="DE44" s="95"/>
      <c r="DF44" s="24" t="s">
        <v>42</v>
      </c>
      <c r="DG44" s="78" t="str">
        <f t="shared" si="59"/>
        <v>GoldenSource</v>
      </c>
      <c r="DH44" s="135" t="s">
        <v>83</v>
      </c>
      <c r="DI44" s="135" t="s">
        <v>86</v>
      </c>
      <c r="DJ44" s="96" t="str">
        <f t="shared" si="60"/>
        <v>Otras Tecnologías</v>
      </c>
      <c r="DK44" s="78">
        <f t="shared" si="78"/>
        <v>51</v>
      </c>
      <c r="DL44" s="140">
        <v>11.0</v>
      </c>
      <c r="DM44" s="140">
        <v>10.0</v>
      </c>
      <c r="DN44" s="140">
        <v>10.0</v>
      </c>
      <c r="DO44" s="140">
        <v>10.0</v>
      </c>
      <c r="DP44" s="140">
        <v>10.0</v>
      </c>
      <c r="DQ44" s="195"/>
      <c r="DR44" s="195"/>
      <c r="DS44" s="196"/>
      <c r="DT44" s="196"/>
      <c r="DU44" s="196"/>
      <c r="DV44" s="196"/>
      <c r="DW44" s="196"/>
      <c r="DX44" s="197"/>
      <c r="DY44" s="197"/>
      <c r="DZ44" s="196"/>
      <c r="EA44" s="220"/>
      <c r="EB44" s="215" t="s">
        <v>104</v>
      </c>
      <c r="EC44" s="133" t="str">
        <f t="array" ref="EC44">IFERROR(INDEX('Resument Total - Ofertas Proyec'!$B:$B,MATCH(EF44,'Resument Total - Ofertas Proyec'!$D:$D,0)),"")</f>
        <v>SDATOOL-51067</v>
      </c>
      <c r="ED44" s="133" t="str">
        <f t="array" ref="ED44">IFERROR(INDEX('Imputación TR - Proyecto-Quince'!$B:$B,MATCH(EF44,'Imputación TR - Proyecto-Quince'!$C:$C,0)),"")</f>
        <v>CTM Colombia</v>
      </c>
      <c r="EE44" s="95"/>
      <c r="EF44" s="10" t="s">
        <v>46</v>
      </c>
      <c r="EG44" s="10" t="str">
        <f t="shared" ref="EG44:EG48" si="85">IF(EJ44="Otras Tecnologías","GoldenSource","")</f>
        <v>GoldenSource</v>
      </c>
      <c r="EH44" s="135" t="s">
        <v>83</v>
      </c>
      <c r="EI44" s="135" t="s">
        <v>86</v>
      </c>
      <c r="EJ44" s="96" t="str">
        <f t="shared" si="79"/>
        <v>Otras Tecnologías</v>
      </c>
      <c r="EK44" s="78">
        <f t="shared" si="80"/>
        <v>77</v>
      </c>
      <c r="EL44" s="135"/>
      <c r="EM44" s="135">
        <v>10.0</v>
      </c>
      <c r="EN44" s="135">
        <v>10.0</v>
      </c>
      <c r="EO44" s="135">
        <v>10.0</v>
      </c>
      <c r="EP44" s="195"/>
      <c r="EQ44" s="195"/>
      <c r="ER44" s="141">
        <v>10.0</v>
      </c>
      <c r="ES44" s="141">
        <v>10.0</v>
      </c>
      <c r="ET44" s="141">
        <v>10.0</v>
      </c>
      <c r="EU44" s="141">
        <v>10.0</v>
      </c>
      <c r="EV44" s="141">
        <v>7.0</v>
      </c>
      <c r="EW44" s="197"/>
      <c r="EX44" s="197"/>
      <c r="EY44" s="141"/>
      <c r="EZ44" s="141"/>
    </row>
    <row r="45" ht="18.0" customHeight="1">
      <c r="A45" s="88"/>
      <c r="B45" s="46" t="str">
        <f t="array" ref="B45">IFERROR(INDEX('Imputación TR - Proyecto-Quince'!$A:$A,MATCH(E45,'Imputación TR - Proyecto-Quince'!$C:$C,0)),"")</f>
        <v>SDATOOL-42226</v>
      </c>
      <c r="C45" s="46" t="str">
        <f t="array" ref="C45">IFERROR(INDEX('Imputación TR - Proyecto-Quince'!$B:$B,MATCH(E45,'Imputación TR - Proyecto-Quince'!$C:$C,0)),"")</f>
        <v>Strategic Boost Alta y Mantenimiento de Emisiones y Emisores.</v>
      </c>
      <c r="D45" s="98"/>
      <c r="E45" s="76" t="s">
        <v>42</v>
      </c>
      <c r="F45" s="143" t="str">
        <f t="shared" ref="F45:F46" si="86">IF(I45="Otras Tecnologías","GoldenSource","")</f>
        <v/>
      </c>
      <c r="G45" s="76" t="s">
        <v>83</v>
      </c>
      <c r="H45" s="71" t="s">
        <v>81</v>
      </c>
      <c r="I45" s="70" t="str">
        <f t="shared" ref="I45:I46" si="87">IF(OR(H45="Codificación",H45="Pruebas"),"Otras Tecnologías","-")</f>
        <v>-</v>
      </c>
      <c r="J45" s="143">
        <f t="shared" si="69"/>
        <v>30</v>
      </c>
      <c r="K45" s="92"/>
      <c r="L45" s="90"/>
      <c r="M45" s="90"/>
      <c r="N45" s="91"/>
      <c r="O45" s="91"/>
      <c r="P45" s="92"/>
      <c r="Q45" s="92"/>
      <c r="R45" s="89"/>
      <c r="S45" s="89"/>
      <c r="T45" s="89"/>
      <c r="U45" s="91"/>
      <c r="V45" s="91"/>
      <c r="W45" s="89">
        <v>10.0</v>
      </c>
      <c r="X45" s="89">
        <v>10.0</v>
      </c>
      <c r="Y45" s="89">
        <v>10.0</v>
      </c>
      <c r="Z45" s="222"/>
      <c r="AA45" s="88"/>
      <c r="AB45" s="143" t="str">
        <f t="array" ref="AB45">IFERROR(INDEX('Resument Total - Ofertas Proyec'!$B:$B,MATCH(AE45,'Resument Total - Ofertas Proyec'!$D:$D,0)),"")</f>
        <v/>
      </c>
      <c r="AC45" s="143" t="str">
        <f t="array" ref="AC45">IFERROR(INDEX('Imputación TR - Proyecto-Quince'!$B:$B,MATCH(AE45,'Imputación TR - Proyecto-Quince'!$C:$C,0)),"")</f>
        <v/>
      </c>
      <c r="AD45" s="92"/>
      <c r="AE45" s="143"/>
      <c r="AF45" s="143" t="str">
        <f t="shared" si="70"/>
        <v/>
      </c>
      <c r="AG45" s="143" t="s">
        <v>82</v>
      </c>
      <c r="AH45" s="98"/>
      <c r="AI45" s="70" t="str">
        <f t="shared" si="71"/>
        <v>-</v>
      </c>
      <c r="AJ45" s="143">
        <f t="shared" si="72"/>
        <v>0</v>
      </c>
      <c r="AK45" s="98"/>
      <c r="AL45" s="98"/>
      <c r="AM45" s="97"/>
      <c r="AN45" s="97"/>
      <c r="AO45" s="98"/>
      <c r="AP45" s="98"/>
      <c r="AQ45" s="98"/>
      <c r="AR45" s="98"/>
      <c r="AS45" s="98"/>
      <c r="AT45" s="97"/>
      <c r="AU45" s="97"/>
      <c r="AV45" s="98"/>
      <c r="AW45" s="98"/>
      <c r="AX45" s="98"/>
      <c r="AY45" s="137"/>
      <c r="AZ45" s="222"/>
      <c r="BA45" s="88"/>
      <c r="BB45" s="143" t="str">
        <f t="array" ref="BB45">IFERROR(INDEX('Resument Total - Ofertas Proyec'!$B:$B,MATCH(BE45,'Resument Total - Ofertas Proyec'!$D:$D,0)),"")</f>
        <v>SDATOOL-49629</v>
      </c>
      <c r="BC45" s="143" t="str">
        <f t="array" ref="BC45">IFERROR(INDEX('Imputación TR - Proyecto-Quince'!$B:$B,MATCH(BE45,'Imputación TR - Proyecto-Quince'!$C:$C,0)),"")</f>
        <v>BSI 2.0. Cargador genérico Legal Agreements</v>
      </c>
      <c r="BD45" s="92"/>
      <c r="BE45" s="24" t="s">
        <v>24</v>
      </c>
      <c r="BF45" s="143" t="str">
        <f t="shared" si="73"/>
        <v>GoldenSource</v>
      </c>
      <c r="BG45" s="77" t="s">
        <v>83</v>
      </c>
      <c r="BH45" s="71" t="s">
        <v>86</v>
      </c>
      <c r="BI45" s="70" t="str">
        <f t="shared" si="74"/>
        <v>Otras Tecnologías</v>
      </c>
      <c r="BJ45" s="143">
        <f t="shared" si="75"/>
        <v>100</v>
      </c>
      <c r="BK45" s="99"/>
      <c r="BL45" s="99"/>
      <c r="BM45" s="99"/>
      <c r="BN45" s="89">
        <v>10.0</v>
      </c>
      <c r="BO45" s="89">
        <v>10.0</v>
      </c>
      <c r="BP45" s="89">
        <v>10.0</v>
      </c>
      <c r="BQ45" s="89">
        <v>10.0</v>
      </c>
      <c r="BR45" s="89">
        <v>10.0</v>
      </c>
      <c r="BS45" s="99"/>
      <c r="BT45" s="99"/>
      <c r="BU45" s="89">
        <v>10.0</v>
      </c>
      <c r="BV45" s="89">
        <v>10.0</v>
      </c>
      <c r="BW45" s="89">
        <v>10.0</v>
      </c>
      <c r="BX45" s="89">
        <v>10.0</v>
      </c>
      <c r="BY45" s="89">
        <v>10.0</v>
      </c>
      <c r="BZ45" s="222"/>
      <c r="CA45" s="88"/>
      <c r="CB45" s="143" t="str">
        <f t="array" ref="CB45">IFERROR(INDEX('Resument Total - Ofertas Proyec'!$B:$B,MATCH(CE45,'Resument Total - Ofertas Proyec'!$D:$D,0)),"")</f>
        <v>SDATOOL-51125</v>
      </c>
      <c r="CC45" s="143" t="str">
        <f t="array" ref="CC45">IFERROR(INDEX('Imputación TR - Proyecto-Quince'!$B:$B,MATCH(CE45,'Imputación TR - Proyecto-Quince'!$C:$C,0)),"")</f>
        <v>Migración FX y MM. Apagado Midas - Operaciones</v>
      </c>
      <c r="CD45" s="92"/>
      <c r="CE45" s="143" t="s">
        <v>38</v>
      </c>
      <c r="CF45" s="143" t="str">
        <f t="shared" si="56"/>
        <v/>
      </c>
      <c r="CG45" s="76" t="s">
        <v>83</v>
      </c>
      <c r="CH45" s="71" t="s">
        <v>81</v>
      </c>
      <c r="CI45" s="70" t="str">
        <f t="shared" si="76"/>
        <v>-</v>
      </c>
      <c r="CJ45" s="143">
        <f t="shared" si="77"/>
        <v>100</v>
      </c>
      <c r="CK45" s="99"/>
      <c r="CL45" s="99"/>
      <c r="CM45" s="89">
        <v>10.0</v>
      </c>
      <c r="CN45" s="89">
        <v>10.0</v>
      </c>
      <c r="CO45" s="89">
        <v>10.0</v>
      </c>
      <c r="CP45" s="89">
        <v>10.0</v>
      </c>
      <c r="CQ45" s="89">
        <v>10.0</v>
      </c>
      <c r="CR45" s="99"/>
      <c r="CS45" s="99"/>
      <c r="CT45" s="89">
        <v>10.0</v>
      </c>
      <c r="CU45" s="89">
        <v>10.0</v>
      </c>
      <c r="CV45" s="89">
        <v>10.0</v>
      </c>
      <c r="CW45" s="89">
        <v>10.0</v>
      </c>
      <c r="CX45" s="89">
        <v>10.0</v>
      </c>
      <c r="CY45" s="99"/>
      <c r="CZ45" s="100"/>
      <c r="DA45" s="222"/>
      <c r="DB45" s="88"/>
      <c r="DC45" s="143" t="str">
        <f t="array" ref="DC45">IFERROR(INDEX('Resument Total - Ofertas Proyec'!$B:$B,MATCH(DF45,'Resument Total - Ofertas Proyec'!$D:$D,0)),"")</f>
        <v>SDATOOL-51067</v>
      </c>
      <c r="DD45" s="143" t="str">
        <f t="array" ref="DD45">IFERROR(INDEX('Imputación TR - Proyecto-Quince'!$B:$B,MATCH(DF45,'Imputación TR - Proyecto-Quince'!$C:$C,0)),"")</f>
        <v>CTM Colombia</v>
      </c>
      <c r="DE45" s="46"/>
      <c r="DF45" s="24" t="s">
        <v>45</v>
      </c>
      <c r="DG45" s="68" t="str">
        <f t="shared" si="59"/>
        <v>GoldenSource</v>
      </c>
      <c r="DH45" s="77" t="s">
        <v>83</v>
      </c>
      <c r="DI45" s="135" t="s">
        <v>86</v>
      </c>
      <c r="DJ45" s="70" t="str">
        <f t="shared" si="60"/>
        <v>Otras Tecnologías</v>
      </c>
      <c r="DK45" s="143">
        <f t="shared" si="78"/>
        <v>20</v>
      </c>
      <c r="DL45" s="89">
        <v>4.0</v>
      </c>
      <c r="DM45" s="89">
        <v>4.0</v>
      </c>
      <c r="DN45" s="89">
        <v>4.0</v>
      </c>
      <c r="DO45" s="89">
        <v>4.0</v>
      </c>
      <c r="DP45" s="89">
        <v>4.0</v>
      </c>
      <c r="DQ45" s="99"/>
      <c r="DR45" s="99"/>
      <c r="DS45" s="102"/>
      <c r="DT45" s="102"/>
      <c r="DU45" s="102"/>
      <c r="DV45" s="102"/>
      <c r="DW45" s="102"/>
      <c r="DX45" s="103"/>
      <c r="DY45" s="103"/>
      <c r="DZ45" s="102"/>
      <c r="EA45" s="222"/>
      <c r="EB45" s="88"/>
      <c r="EC45" s="143" t="str">
        <f t="array" ref="EC45">IFERROR(INDEX('Resument Total - Ofertas Proyec'!$B:$B,MATCH(EF45,'Resument Total - Ofertas Proyec'!$D:$D,0)),"")</f>
        <v/>
      </c>
      <c r="ED45" s="143" t="str">
        <f t="array" ref="ED45">IFERROR(INDEX('Imputación TR - Proyecto-Quince'!$B:$B,MATCH(EF45,'Imputación TR - Proyecto-Quince'!$C:$C,0)),"")</f>
        <v/>
      </c>
      <c r="EE45" s="138" t="s">
        <v>64</v>
      </c>
      <c r="EF45" s="139"/>
      <c r="EG45" s="139" t="str">
        <f t="shared" si="85"/>
        <v/>
      </c>
      <c r="EH45" s="140" t="s">
        <v>80</v>
      </c>
      <c r="EI45" s="135" t="s">
        <v>81</v>
      </c>
      <c r="EJ45" s="70" t="str">
        <f t="shared" si="79"/>
        <v>-</v>
      </c>
      <c r="EK45" s="143">
        <f t="shared" si="80"/>
        <v>27</v>
      </c>
      <c r="EL45" s="102">
        <v>9.0</v>
      </c>
      <c r="EM45" s="92"/>
      <c r="EN45" s="92"/>
      <c r="EO45" s="92"/>
      <c r="EP45" s="99"/>
      <c r="EQ45" s="99"/>
      <c r="ER45" s="101"/>
      <c r="ES45" s="101"/>
      <c r="ET45" s="101"/>
      <c r="EU45" s="101"/>
      <c r="EV45" s="101"/>
      <c r="EW45" s="103"/>
      <c r="EX45" s="103"/>
      <c r="EY45" s="102">
        <v>9.0</v>
      </c>
      <c r="EZ45" s="102">
        <v>9.0</v>
      </c>
    </row>
    <row r="46" ht="18.0" customHeight="1">
      <c r="A46" s="107"/>
      <c r="B46" s="199" t="str">
        <f t="array" ref="B46">IFERROR(INDEX('Imputación TR - Proyecto-Quince'!$A:$A,MATCH(E46,'Imputación TR - Proyecto-Quince'!$C:$C,0)),"")</f>
        <v/>
      </c>
      <c r="C46" s="199" t="str">
        <f t="array" ref="C46">IFERROR(INDEX('Imputación TR - Proyecto-Quince'!$B:$B,MATCH(E46,'Imputación TR - Proyecto-Quince'!$C:$C,0)),"")</f>
        <v/>
      </c>
      <c r="D46" s="199"/>
      <c r="E46" s="201"/>
      <c r="F46" s="201" t="str">
        <f t="shared" si="86"/>
        <v/>
      </c>
      <c r="G46" s="199" t="s">
        <v>82</v>
      </c>
      <c r="H46" s="201"/>
      <c r="I46" s="200" t="str">
        <f t="shared" si="87"/>
        <v>-</v>
      </c>
      <c r="J46" s="199">
        <f t="shared" si="69"/>
        <v>0</v>
      </c>
      <c r="K46" s="201"/>
      <c r="L46" s="202"/>
      <c r="M46" s="202"/>
      <c r="N46" s="203"/>
      <c r="O46" s="203"/>
      <c r="P46" s="201"/>
      <c r="Q46" s="201"/>
      <c r="R46" s="201"/>
      <c r="S46" s="201"/>
      <c r="T46" s="201"/>
      <c r="U46" s="203"/>
      <c r="V46" s="203"/>
      <c r="W46" s="201"/>
      <c r="X46" s="201"/>
      <c r="Y46" s="204"/>
      <c r="Z46" s="205"/>
      <c r="AA46" s="107"/>
      <c r="AB46" s="201" t="str">
        <f t="array" ref="AB46">IFERROR(INDEX('Resument Total - Ofertas Proyec'!$B:$B,MATCH(AE46,'Resument Total - Ofertas Proyec'!$D:$D,0)),"")</f>
        <v/>
      </c>
      <c r="AC46" s="201" t="str">
        <f t="array" ref="AC46">IFERROR(INDEX('Imputación TR - Proyecto-Quince'!$B:$B,MATCH(AE46,'Imputación TR - Proyecto-Quince'!$C:$C,0)),"")</f>
        <v/>
      </c>
      <c r="AD46" s="201"/>
      <c r="AE46" s="201"/>
      <c r="AF46" s="201" t="str">
        <f t="shared" si="70"/>
        <v/>
      </c>
      <c r="AG46" s="199" t="s">
        <v>82</v>
      </c>
      <c r="AH46" s="201"/>
      <c r="AI46" s="200" t="str">
        <f t="shared" si="71"/>
        <v>-</v>
      </c>
      <c r="AJ46" s="199">
        <f t="shared" si="72"/>
        <v>0</v>
      </c>
      <c r="AK46" s="199"/>
      <c r="AL46" s="199"/>
      <c r="AM46" s="206"/>
      <c r="AN46" s="206"/>
      <c r="AO46" s="199"/>
      <c r="AP46" s="199"/>
      <c r="AQ46" s="199"/>
      <c r="AR46" s="199"/>
      <c r="AS46" s="199"/>
      <c r="AT46" s="206"/>
      <c r="AU46" s="206"/>
      <c r="AV46" s="199"/>
      <c r="AW46" s="199"/>
      <c r="AX46" s="199"/>
      <c r="AY46" s="207"/>
      <c r="AZ46" s="205"/>
      <c r="BA46" s="107"/>
      <c r="BB46" s="201" t="str">
        <f t="array" ref="BB46">IFERROR(INDEX('Resument Total - Ofertas Proyec'!$B:$B,MATCH(BE46,'Resument Total - Ofertas Proyec'!$D:$D,0)),"")</f>
        <v/>
      </c>
      <c r="BC46" s="201" t="str">
        <f t="array" ref="BC46">IFERROR(INDEX('Imputación TR - Proyecto-Quince'!$B:$B,MATCH(BE46,'Imputación TR - Proyecto-Quince'!$C:$C,0)),"")</f>
        <v/>
      </c>
      <c r="BD46" s="201"/>
      <c r="BE46" s="201"/>
      <c r="BF46" s="201" t="str">
        <f t="shared" si="73"/>
        <v/>
      </c>
      <c r="BG46" s="199" t="s">
        <v>82</v>
      </c>
      <c r="BH46" s="201"/>
      <c r="BI46" s="200" t="str">
        <f t="shared" si="74"/>
        <v>-</v>
      </c>
      <c r="BJ46" s="199">
        <f t="shared" si="75"/>
        <v>0</v>
      </c>
      <c r="BK46" s="208"/>
      <c r="BL46" s="208"/>
      <c r="BM46" s="208"/>
      <c r="BN46" s="201"/>
      <c r="BO46" s="201"/>
      <c r="BP46" s="201"/>
      <c r="BQ46" s="201"/>
      <c r="BR46" s="201"/>
      <c r="BS46" s="208"/>
      <c r="BT46" s="208"/>
      <c r="BU46" s="201"/>
      <c r="BV46" s="201"/>
      <c r="BW46" s="201"/>
      <c r="BX46" s="201"/>
      <c r="BY46" s="201"/>
      <c r="BZ46" s="205"/>
      <c r="CA46" s="107"/>
      <c r="CB46" s="201" t="str">
        <f t="array" ref="CB46">IFERROR(INDEX('Resument Total - Ofertas Proyec'!$B:$B,MATCH(CE46,'Resument Total - Ofertas Proyec'!$D:$D,0)),"")</f>
        <v/>
      </c>
      <c r="CC46" s="201" t="str">
        <f t="array" ref="CC46">IFERROR(INDEX('Imputación TR - Proyecto-Quince'!$B:$B,MATCH(CE46,'Imputación TR - Proyecto-Quince'!$C:$C,0)),"")</f>
        <v/>
      </c>
      <c r="CD46" s="201"/>
      <c r="CE46" s="201"/>
      <c r="CF46" s="201" t="str">
        <f t="shared" si="56"/>
        <v/>
      </c>
      <c r="CG46" s="199" t="s">
        <v>82</v>
      </c>
      <c r="CH46" s="201"/>
      <c r="CI46" s="200" t="str">
        <f t="shared" si="76"/>
        <v>-</v>
      </c>
      <c r="CJ46" s="199">
        <f t="shared" si="77"/>
        <v>0</v>
      </c>
      <c r="CK46" s="208"/>
      <c r="CL46" s="208"/>
      <c r="CM46" s="201"/>
      <c r="CN46" s="201"/>
      <c r="CO46" s="201"/>
      <c r="CP46" s="201"/>
      <c r="CQ46" s="201"/>
      <c r="CR46" s="208"/>
      <c r="CS46" s="208"/>
      <c r="CT46" s="201"/>
      <c r="CU46" s="201"/>
      <c r="CV46" s="201"/>
      <c r="CW46" s="201"/>
      <c r="CX46" s="201"/>
      <c r="CY46" s="208"/>
      <c r="CZ46" s="209"/>
      <c r="DA46" s="205"/>
      <c r="DB46" s="107"/>
      <c r="DC46" s="201" t="str">
        <f t="array" ref="DC46">IFERROR(INDEX('Resument Total - Ofertas Proyec'!$B:$B,MATCH(DF46,'Resument Total - Ofertas Proyec'!$D:$D,0)),"")</f>
        <v/>
      </c>
      <c r="DD46" s="201" t="str">
        <f t="array" ref="DD46">IFERROR(INDEX('Imputación TR - Proyecto-Quince'!$B:$B,MATCH(DF46,'Imputación TR - Proyecto-Quince'!$C:$C,0)),"")</f>
        <v/>
      </c>
      <c r="DE46" s="193" t="s">
        <v>64</v>
      </c>
      <c r="DF46" s="210"/>
      <c r="DG46" s="210" t="str">
        <f t="shared" si="59"/>
        <v/>
      </c>
      <c r="DH46" s="223" t="s">
        <v>80</v>
      </c>
      <c r="DI46" s="224" t="s">
        <v>81</v>
      </c>
      <c r="DJ46" s="200" t="str">
        <f t="shared" si="60"/>
        <v>-</v>
      </c>
      <c r="DK46" s="211">
        <f t="shared" si="78"/>
        <v>51</v>
      </c>
      <c r="DL46" s="201"/>
      <c r="DM46" s="201"/>
      <c r="DN46" s="201"/>
      <c r="DO46" s="201"/>
      <c r="DP46" s="201"/>
      <c r="DQ46" s="208"/>
      <c r="DR46" s="208"/>
      <c r="DS46" s="213">
        <v>9.0</v>
      </c>
      <c r="DT46" s="213">
        <v>9.0</v>
      </c>
      <c r="DU46" s="213">
        <v>9.0</v>
      </c>
      <c r="DV46" s="213">
        <v>9.0</v>
      </c>
      <c r="DW46" s="213">
        <v>6.0</v>
      </c>
      <c r="DX46" s="214"/>
      <c r="DY46" s="214"/>
      <c r="DZ46" s="213">
        <v>9.0</v>
      </c>
      <c r="EA46" s="205"/>
      <c r="EB46" s="107"/>
      <c r="EC46" s="201" t="str">
        <f t="array" ref="EC46">IFERROR(INDEX('Resument Total - Ofertas Proyec'!$B:$B,MATCH(EF46,'Resument Total - Ofertas Proyec'!$D:$D,0)),"")</f>
        <v/>
      </c>
      <c r="ED46" s="201" t="str">
        <f t="array" ref="ED46">IFERROR(INDEX('Imputación TR - Proyecto-Quince'!$B:$B,MATCH(EF46,'Imputación TR - Proyecto-Quince'!$C:$C,0)),"")</f>
        <v/>
      </c>
      <c r="EE46" s="201"/>
      <c r="EF46" s="201"/>
      <c r="EG46" s="201" t="str">
        <f t="shared" si="85"/>
        <v/>
      </c>
      <c r="EH46" s="199" t="s">
        <v>82</v>
      </c>
      <c r="EI46" s="201"/>
      <c r="EJ46" s="200" t="str">
        <f t="shared" si="79"/>
        <v>-</v>
      </c>
      <c r="EK46" s="199">
        <f t="shared" si="80"/>
        <v>0</v>
      </c>
      <c r="EL46" s="201"/>
      <c r="EM46" s="201"/>
      <c r="EN46" s="201"/>
      <c r="EO46" s="201"/>
      <c r="EP46" s="208"/>
      <c r="EQ46" s="208"/>
      <c r="ER46" s="212"/>
      <c r="ES46" s="212"/>
      <c r="ET46" s="212"/>
      <c r="EU46" s="212"/>
      <c r="EV46" s="212"/>
      <c r="EW46" s="214"/>
      <c r="EX46" s="214"/>
      <c r="EY46" s="212"/>
      <c r="EZ46" s="212"/>
    </row>
    <row r="47" ht="18.0" customHeight="1">
      <c r="A47" s="225" t="s">
        <v>105</v>
      </c>
      <c r="B47" s="216" t="str">
        <f t="array" ref="B47">IFERROR(INDEX('Imputación TR - Proyecto-Quince'!$A:$A,MATCH(E47,'Imputación TR - Proyecto-Quince'!$C:$C,0)),"")</f>
        <v/>
      </c>
      <c r="C47" s="216"/>
      <c r="D47" s="75" t="s">
        <v>64</v>
      </c>
      <c r="E47" s="95"/>
      <c r="F47" s="95"/>
      <c r="G47" s="75" t="s">
        <v>80</v>
      </c>
      <c r="H47" s="78" t="s">
        <v>81</v>
      </c>
      <c r="I47" s="96" t="s">
        <v>82</v>
      </c>
      <c r="J47" s="75">
        <f t="shared" si="69"/>
        <v>60</v>
      </c>
      <c r="K47" s="138">
        <v>9.0</v>
      </c>
      <c r="L47" s="217">
        <v>9.0</v>
      </c>
      <c r="M47" s="217"/>
      <c r="N47" s="218"/>
      <c r="O47" s="218"/>
      <c r="P47" s="135">
        <v>9.0</v>
      </c>
      <c r="Q47" s="135">
        <v>9.0</v>
      </c>
      <c r="R47" s="135">
        <v>9.0</v>
      </c>
      <c r="S47" s="135">
        <v>9.0</v>
      </c>
      <c r="T47" s="135">
        <v>6.0</v>
      </c>
      <c r="U47" s="218"/>
      <c r="V47" s="218"/>
      <c r="W47" s="135"/>
      <c r="X47" s="135"/>
      <c r="Y47" s="219"/>
      <c r="Z47" s="132"/>
      <c r="AA47" s="225" t="s">
        <v>105</v>
      </c>
      <c r="AB47" s="133" t="str">
        <f t="array" ref="AB47">IFERROR(INDEX('Resument Total - Ofertas Proyec'!$B:$B,MATCH(AE47,'Resument Total - Ofertas Proyec'!$D:$D,0)),"")</f>
        <v>SDATOOL-42226</v>
      </c>
      <c r="AC47" s="133" t="str">
        <f t="array" ref="AC47">IFERROR(INDEX('Imputación TR - Proyecto-Quince'!$B:$B,MATCH(AE47,'Imputación TR - Proyecto-Quince'!$C:$C,0)),"")</f>
        <v>Strategic Boost Alta y Mantenimiento de Emisiones y Emisores.</v>
      </c>
      <c r="AD47" s="95"/>
      <c r="AE47" s="136" t="s">
        <v>41</v>
      </c>
      <c r="AF47" s="78" t="str">
        <f t="shared" si="70"/>
        <v/>
      </c>
      <c r="AG47" s="77" t="s">
        <v>83</v>
      </c>
      <c r="AH47" s="135" t="s">
        <v>81</v>
      </c>
      <c r="AI47" s="96" t="str">
        <f t="shared" si="71"/>
        <v>-</v>
      </c>
      <c r="AJ47" s="78">
        <f t="shared" si="72"/>
        <v>110</v>
      </c>
      <c r="AK47" s="135">
        <v>10.0</v>
      </c>
      <c r="AL47" s="135">
        <v>10.0</v>
      </c>
      <c r="AM47" s="195"/>
      <c r="AN47" s="195"/>
      <c r="AO47" s="135">
        <v>10.0</v>
      </c>
      <c r="AP47" s="135">
        <v>10.0</v>
      </c>
      <c r="AQ47" s="135">
        <v>10.0</v>
      </c>
      <c r="AR47" s="135">
        <v>10.0</v>
      </c>
      <c r="AS47" s="135">
        <v>10.0</v>
      </c>
      <c r="AT47" s="195"/>
      <c r="AU47" s="195"/>
      <c r="AV47" s="135">
        <v>10.0</v>
      </c>
      <c r="AW47" s="135">
        <v>10.0</v>
      </c>
      <c r="AX47" s="135">
        <v>10.0</v>
      </c>
      <c r="AY47" s="135">
        <v>10.0</v>
      </c>
      <c r="AZ47" s="132"/>
      <c r="BA47" s="225" t="s">
        <v>105</v>
      </c>
      <c r="BB47" s="133" t="str">
        <f t="array" ref="BB47">IFERROR(INDEX('Resument Total - Ofertas Proyec'!$B:$B,MATCH(BE47,'Resument Total - Ofertas Proyec'!$D:$D,0)),"")</f>
        <v>SDATOOL-42226</v>
      </c>
      <c r="BC47" s="133" t="str">
        <f t="array" ref="BC47">IFERROR(INDEX('Imputación TR - Proyecto-Quince'!$B:$B,MATCH(BE47,'Imputación TR - Proyecto-Quince'!$C:$C,0)),"")</f>
        <v>Strategic Boost Alta y Mantenimiento de Emisiones y Emisores.</v>
      </c>
      <c r="BD47" s="95"/>
      <c r="BE47" s="135" t="s">
        <v>42</v>
      </c>
      <c r="BF47" s="78" t="str">
        <f t="shared" si="73"/>
        <v>GoldenSource</v>
      </c>
      <c r="BG47" s="77" t="s">
        <v>83</v>
      </c>
      <c r="BH47" s="135" t="s">
        <v>84</v>
      </c>
      <c r="BI47" s="96" t="str">
        <f t="shared" si="74"/>
        <v>Otras Tecnologías</v>
      </c>
      <c r="BJ47" s="78">
        <f t="shared" si="75"/>
        <v>50</v>
      </c>
      <c r="BK47" s="195"/>
      <c r="BL47" s="195"/>
      <c r="BM47" s="195"/>
      <c r="BN47" s="135">
        <v>5.0</v>
      </c>
      <c r="BO47" s="135">
        <v>5.0</v>
      </c>
      <c r="BP47" s="135">
        <v>5.0</v>
      </c>
      <c r="BQ47" s="135">
        <v>5.0</v>
      </c>
      <c r="BR47" s="135">
        <v>5.0</v>
      </c>
      <c r="BS47" s="195"/>
      <c r="BT47" s="195"/>
      <c r="BU47" s="135">
        <v>5.0</v>
      </c>
      <c r="BV47" s="135">
        <v>5.0</v>
      </c>
      <c r="BW47" s="135">
        <v>5.0</v>
      </c>
      <c r="BX47" s="135">
        <v>5.0</v>
      </c>
      <c r="BY47" s="135">
        <v>5.0</v>
      </c>
      <c r="BZ47" s="132"/>
      <c r="CA47" s="225" t="s">
        <v>105</v>
      </c>
      <c r="CB47" s="133" t="str">
        <f t="array" ref="CB47">IFERROR(INDEX('Resument Total - Ofertas Proyec'!$B:$B,MATCH(CE47,'Resument Total - Ofertas Proyec'!$D:$D,0)),"")</f>
        <v>SDATOOL-38779</v>
      </c>
      <c r="CC47" s="133" t="str">
        <f t="array" ref="CC47">IFERROR(INDEX('Imputación TR - Proyecto-Quince'!$B:$B,MATCH(CE47,'Imputación TR - Proyecto-Quince'!$C:$C,0)),"")</f>
        <v>Sec Lending_Sponsored Repo</v>
      </c>
      <c r="CD47" s="95"/>
      <c r="CE47" s="226" t="s">
        <v>54</v>
      </c>
      <c r="CF47" s="78" t="str">
        <f t="shared" si="56"/>
        <v>GoldenSource</v>
      </c>
      <c r="CG47" s="135" t="s">
        <v>83</v>
      </c>
      <c r="CH47" s="135" t="s">
        <v>84</v>
      </c>
      <c r="CI47" s="96" t="str">
        <f t="shared" si="76"/>
        <v>Otras Tecnologías</v>
      </c>
      <c r="CJ47" s="78">
        <f t="shared" si="77"/>
        <v>100</v>
      </c>
      <c r="CK47" s="195"/>
      <c r="CL47" s="195"/>
      <c r="CM47" s="135">
        <v>10.0</v>
      </c>
      <c r="CN47" s="135">
        <v>10.0</v>
      </c>
      <c r="CO47" s="135">
        <v>10.0</v>
      </c>
      <c r="CP47" s="135">
        <v>10.0</v>
      </c>
      <c r="CQ47" s="135">
        <v>10.0</v>
      </c>
      <c r="CR47" s="195"/>
      <c r="CS47" s="195"/>
      <c r="CT47" s="135">
        <v>10.0</v>
      </c>
      <c r="CU47" s="135">
        <v>10.0</v>
      </c>
      <c r="CV47" s="135">
        <v>10.0</v>
      </c>
      <c r="CW47" s="135">
        <v>10.0</v>
      </c>
      <c r="CX47" s="135">
        <v>10.0</v>
      </c>
      <c r="CY47" s="195"/>
      <c r="CZ47" s="221"/>
      <c r="DA47" s="132"/>
      <c r="DB47" s="225" t="s">
        <v>105</v>
      </c>
      <c r="DC47" s="133" t="str">
        <f t="array" ref="DC47">IFERROR(INDEX('Resument Total - Ofertas Proyec'!$B:$B,MATCH(DF47,'Resument Total - Ofertas Proyec'!$D:$D,0)),"")</f>
        <v>SDATOOL-51067</v>
      </c>
      <c r="DD47" s="133" t="str">
        <f t="array" ref="DD47">IFERROR(INDEX('Imputación TR - Proyecto-Quince'!$B:$B,MATCH(DF47,'Imputación TR - Proyecto-Quince'!$C:$C,0)),"")</f>
        <v>CTM Colombia</v>
      </c>
      <c r="DE47" s="95"/>
      <c r="DF47" s="24" t="s">
        <v>45</v>
      </c>
      <c r="DG47" s="78" t="str">
        <f t="shared" si="59"/>
        <v>GoldenSource</v>
      </c>
      <c r="DH47" s="135" t="s">
        <v>83</v>
      </c>
      <c r="DI47" s="135" t="s">
        <v>86</v>
      </c>
      <c r="DJ47" s="96" t="str">
        <f t="shared" si="60"/>
        <v>Otras Tecnologías</v>
      </c>
      <c r="DK47" s="78">
        <f t="shared" si="78"/>
        <v>25</v>
      </c>
      <c r="DL47" s="135">
        <v>15.0</v>
      </c>
      <c r="DM47" s="135">
        <v>10.0</v>
      </c>
      <c r="DN47" s="135"/>
      <c r="DO47" s="135"/>
      <c r="DP47" s="135"/>
      <c r="DQ47" s="195"/>
      <c r="DR47" s="195"/>
      <c r="DS47" s="196"/>
      <c r="DT47" s="196"/>
      <c r="DU47" s="196"/>
      <c r="DV47" s="196"/>
      <c r="DW47" s="196"/>
      <c r="DX47" s="197"/>
      <c r="DY47" s="197"/>
      <c r="DZ47" s="196"/>
      <c r="EA47" s="132"/>
      <c r="EB47" s="225" t="s">
        <v>105</v>
      </c>
      <c r="EC47" s="133" t="str">
        <f t="array" ref="EC47">IFERROR(INDEX('Resument Total - Ofertas Proyec'!$B:$B,MATCH(EF47,'Resument Total - Ofertas Proyec'!$D:$D,0)),"")</f>
        <v>SDATOOL-55461</v>
      </c>
      <c r="ED47" s="133" t="str">
        <f t="array" ref="ED47">IFERROR(INDEX('Imputación TR - Proyecto-Quince'!$B:$B,MATCH(EF47,'Imputación TR - Proyecto-Quince'!$C:$C,0)),"")</f>
        <v>Refinamiento Productos Entregados</v>
      </c>
      <c r="EE47" s="95"/>
      <c r="EF47" s="25" t="s">
        <v>61</v>
      </c>
      <c r="EG47" s="25" t="str">
        <f t="shared" si="85"/>
        <v/>
      </c>
      <c r="EH47" s="135" t="s">
        <v>83</v>
      </c>
      <c r="EI47" s="135" t="s">
        <v>81</v>
      </c>
      <c r="EJ47" s="96" t="str">
        <f t="shared" si="79"/>
        <v>-</v>
      </c>
      <c r="EK47" s="78">
        <f t="shared" si="80"/>
        <v>44</v>
      </c>
      <c r="EL47" s="135">
        <v>14.0</v>
      </c>
      <c r="EM47" s="135">
        <v>10.0</v>
      </c>
      <c r="EN47" s="135">
        <v>10.0</v>
      </c>
      <c r="EO47" s="135">
        <v>10.0</v>
      </c>
      <c r="EP47" s="195"/>
      <c r="EQ47" s="195"/>
      <c r="ER47" s="196"/>
      <c r="ES47" s="196"/>
      <c r="ET47" s="196"/>
      <c r="EU47" s="196"/>
      <c r="EV47" s="196"/>
      <c r="EW47" s="197"/>
      <c r="EX47" s="197"/>
      <c r="EY47" s="196"/>
      <c r="EZ47" s="196"/>
    </row>
    <row r="48" ht="18.0" customHeight="1">
      <c r="A48" s="88"/>
      <c r="B48" s="46" t="str">
        <f t="array" ref="B48">IFERROR(INDEX('Imputación TR - Proyecto-Quince'!$A:$A,MATCH(E48,'Imputación TR - Proyecto-Quince'!$C:$C,0)),"")</f>
        <v>SDATOOL-49629</v>
      </c>
      <c r="C48" s="46" t="str">
        <f t="array" ref="C48">IFERROR(INDEX('Imputación TR - Proyecto-Quince'!$B:$B,MATCH(E48,'Imputación TR - Proyecto-Quince'!$C:$C,0)),"")</f>
        <v>BSI 2.0. Cargador genérico Legal Agreements</v>
      </c>
      <c r="D48" s="72"/>
      <c r="E48" s="24" t="s">
        <v>24</v>
      </c>
      <c r="F48" s="46" t="str">
        <f t="shared" ref="F48:F49" si="88">IF(I48="Otras Tecnologías","GoldenSource","")</f>
        <v/>
      </c>
      <c r="G48" s="76" t="s">
        <v>83</v>
      </c>
      <c r="H48" s="71" t="s">
        <v>81</v>
      </c>
      <c r="I48" s="70" t="str">
        <f t="shared" ref="I48:I49" si="89">IF(OR(H48="Codificación",H48="Pruebas"),"Otras Tecnologías","-")</f>
        <v>-</v>
      </c>
      <c r="J48" s="46">
        <f t="shared" si="69"/>
        <v>15</v>
      </c>
      <c r="K48" s="92"/>
      <c r="L48" s="90"/>
      <c r="M48" s="90"/>
      <c r="N48" s="91"/>
      <c r="O48" s="91"/>
      <c r="P48" s="92"/>
      <c r="Q48" s="92"/>
      <c r="R48" s="92"/>
      <c r="S48" s="92"/>
      <c r="T48" s="92"/>
      <c r="U48" s="91"/>
      <c r="V48" s="91"/>
      <c r="W48" s="89">
        <v>5.0</v>
      </c>
      <c r="X48" s="89">
        <v>5.0</v>
      </c>
      <c r="Y48" s="186">
        <v>5.0</v>
      </c>
      <c r="Z48" s="94"/>
      <c r="AA48" s="88"/>
      <c r="AB48" s="46" t="str">
        <f t="array" ref="AB48">IFERROR(INDEX('Resument Total - Ofertas Proyec'!$B:$B,MATCH(AE48,'Resument Total - Ofertas Proyec'!$D:$D,0)),"")</f>
        <v/>
      </c>
      <c r="AC48" s="46" t="str">
        <f t="array" ref="AC48">IFERROR(INDEX('Imputación TR - Proyecto-Quince'!$B:$B,MATCH(AE48,'Imputación TR - Proyecto-Quince'!$C:$C,0)),"")</f>
        <v/>
      </c>
      <c r="AD48" s="68"/>
      <c r="AE48" s="46"/>
      <c r="AF48" s="46" t="str">
        <f t="shared" si="70"/>
        <v/>
      </c>
      <c r="AG48" s="46" t="s">
        <v>82</v>
      </c>
      <c r="AH48" s="72"/>
      <c r="AI48" s="70" t="str">
        <f t="shared" si="71"/>
        <v>-</v>
      </c>
      <c r="AJ48" s="46">
        <f t="shared" si="72"/>
        <v>0</v>
      </c>
      <c r="AK48" s="98"/>
      <c r="AL48" s="98"/>
      <c r="AM48" s="97"/>
      <c r="AN48" s="97"/>
      <c r="AO48" s="98"/>
      <c r="AP48" s="98"/>
      <c r="AQ48" s="98"/>
      <c r="AR48" s="98"/>
      <c r="AS48" s="98"/>
      <c r="AT48" s="97"/>
      <c r="AU48" s="97"/>
      <c r="AV48" s="98"/>
      <c r="AW48" s="98"/>
      <c r="AX48" s="98"/>
      <c r="AY48" s="137"/>
      <c r="AZ48" s="94"/>
      <c r="BA48" s="88"/>
      <c r="BB48" s="46" t="str">
        <f t="array" ref="BB48">IFERROR(INDEX('Resument Total - Ofertas Proyec'!$B:$B,MATCH(BE48,'Resument Total - Ofertas Proyec'!$D:$D,0)),"")</f>
        <v>SDATOOL-49629</v>
      </c>
      <c r="BC48" s="46" t="str">
        <f t="array" ref="BC48">IFERROR(INDEX('Imputación TR - Proyecto-Quince'!$B:$B,MATCH(BE48,'Imputación TR - Proyecto-Quince'!$C:$C,0)),"")</f>
        <v>BSI 2.0. Cargador genérico Legal Agreements</v>
      </c>
      <c r="BD48" s="68"/>
      <c r="BE48" s="24" t="s">
        <v>24</v>
      </c>
      <c r="BF48" s="46" t="str">
        <f t="shared" si="73"/>
        <v>GoldenSource</v>
      </c>
      <c r="BG48" s="77" t="s">
        <v>83</v>
      </c>
      <c r="BH48" s="71" t="s">
        <v>86</v>
      </c>
      <c r="BI48" s="70" t="str">
        <f t="shared" si="74"/>
        <v>Otras Tecnologías</v>
      </c>
      <c r="BJ48" s="46">
        <f t="shared" si="75"/>
        <v>100</v>
      </c>
      <c r="BK48" s="99"/>
      <c r="BL48" s="99"/>
      <c r="BM48" s="99"/>
      <c r="BN48" s="89">
        <v>10.0</v>
      </c>
      <c r="BO48" s="89">
        <v>10.0</v>
      </c>
      <c r="BP48" s="89">
        <v>10.0</v>
      </c>
      <c r="BQ48" s="89">
        <v>10.0</v>
      </c>
      <c r="BR48" s="89">
        <v>10.0</v>
      </c>
      <c r="BS48" s="99"/>
      <c r="BT48" s="99"/>
      <c r="BU48" s="89">
        <v>10.0</v>
      </c>
      <c r="BV48" s="89">
        <v>10.0</v>
      </c>
      <c r="BW48" s="89">
        <v>10.0</v>
      </c>
      <c r="BX48" s="89">
        <v>10.0</v>
      </c>
      <c r="BY48" s="89">
        <v>10.0</v>
      </c>
      <c r="BZ48" s="94"/>
      <c r="CA48" s="88"/>
      <c r="CB48" s="46" t="str">
        <f t="array" ref="CB48">IFERROR(INDEX('Resument Total - Ofertas Proyec'!$B:$B,MATCH(CE48,'Resument Total - Ofertas Proyec'!$D:$D,0)),"")</f>
        <v/>
      </c>
      <c r="CC48" s="46" t="str">
        <f t="array" ref="CC48">IFERROR(INDEX('Imputación TR - Proyecto-Quince'!$B:$B,MATCH(CE48,'Imputación TR - Proyecto-Quince'!$C:$C,0)),"")</f>
        <v/>
      </c>
      <c r="CD48" s="68"/>
      <c r="CE48" s="46"/>
      <c r="CF48" s="46" t="str">
        <f t="shared" si="56"/>
        <v/>
      </c>
      <c r="CG48" s="46" t="s">
        <v>82</v>
      </c>
      <c r="CH48" s="72"/>
      <c r="CI48" s="70" t="str">
        <f t="shared" si="76"/>
        <v>-</v>
      </c>
      <c r="CJ48" s="46">
        <f t="shared" si="77"/>
        <v>0</v>
      </c>
      <c r="CK48" s="99"/>
      <c r="CL48" s="99"/>
      <c r="CM48" s="92"/>
      <c r="CN48" s="92"/>
      <c r="CO48" s="92"/>
      <c r="CP48" s="92"/>
      <c r="CQ48" s="92"/>
      <c r="CR48" s="99"/>
      <c r="CS48" s="99"/>
      <c r="CT48" s="92"/>
      <c r="CU48" s="92"/>
      <c r="CV48" s="92"/>
      <c r="CW48" s="92"/>
      <c r="CX48" s="92"/>
      <c r="CY48" s="99"/>
      <c r="CZ48" s="100"/>
      <c r="DA48" s="94"/>
      <c r="DB48" s="88"/>
      <c r="DC48" s="46" t="str">
        <f t="array" ref="DC48">IFERROR(INDEX('Resument Total - Ofertas Proyec'!$B:$B,MATCH(DF48,'Resument Total - Ofertas Proyec'!$D:$D,0)),"")</f>
        <v>SDATOOL-38779</v>
      </c>
      <c r="DD48" s="46" t="str">
        <f t="array" ref="DD48">IFERROR(INDEX('Imputación TR - Proyecto-Quince'!$B:$B,MATCH(DF48,'Imputación TR - Proyecto-Quince'!$C:$C,0)),"")</f>
        <v>Sec Lending_Sponsored Repo</v>
      </c>
      <c r="DE48" s="68"/>
      <c r="DF48" s="10" t="s">
        <v>55</v>
      </c>
      <c r="DG48" s="46" t="str">
        <f t="shared" si="59"/>
        <v>GoldenSource</v>
      </c>
      <c r="DH48" s="76" t="s">
        <v>83</v>
      </c>
      <c r="DI48" s="71" t="s">
        <v>86</v>
      </c>
      <c r="DJ48" s="70" t="str">
        <f t="shared" si="60"/>
        <v>Otras Tecnologías</v>
      </c>
      <c r="DK48" s="46">
        <f t="shared" si="78"/>
        <v>51</v>
      </c>
      <c r="DL48" s="92"/>
      <c r="DM48" s="89">
        <v>6.0</v>
      </c>
      <c r="DN48" s="89">
        <v>15.0</v>
      </c>
      <c r="DO48" s="89">
        <v>15.0</v>
      </c>
      <c r="DP48" s="89">
        <v>15.0</v>
      </c>
      <c r="DQ48" s="99"/>
      <c r="DR48" s="99"/>
      <c r="DS48" s="101"/>
      <c r="DT48" s="101"/>
      <c r="DU48" s="101"/>
      <c r="DV48" s="101"/>
      <c r="DW48" s="101"/>
      <c r="DX48" s="103"/>
      <c r="DY48" s="103"/>
      <c r="DZ48" s="101"/>
      <c r="EA48" s="94"/>
      <c r="EB48" s="88"/>
      <c r="EC48" s="46" t="str">
        <f t="array" ref="EC48">IFERROR(INDEX('Resument Total - Ofertas Proyec'!$B:$B,MATCH(EF48,'Resument Total - Ofertas Proyec'!$D:$D,0)),"")</f>
        <v>SDATOOL-34723</v>
      </c>
      <c r="ED48" s="46" t="str">
        <f t="array" ref="ED48">IFERROR(INDEX('Imputación TR - Proyecto-Quince'!$B:$B,MATCH(EF48,'Imputación TR - Proyecto-Quince'!$C:$C,0)),"")</f>
        <v>Calypso Filter</v>
      </c>
      <c r="EE48" s="138"/>
      <c r="EF48" s="84" t="s">
        <v>58</v>
      </c>
      <c r="EG48" s="84" t="str">
        <f t="shared" si="85"/>
        <v/>
      </c>
      <c r="EH48" s="140" t="s">
        <v>83</v>
      </c>
      <c r="EI48" s="135" t="s">
        <v>81</v>
      </c>
      <c r="EJ48" s="70" t="str">
        <f t="shared" si="79"/>
        <v>-</v>
      </c>
      <c r="EK48" s="46">
        <f t="shared" si="80"/>
        <v>12</v>
      </c>
      <c r="EL48" s="92"/>
      <c r="EM48" s="89">
        <v>6.0</v>
      </c>
      <c r="EN48" s="89">
        <v>6.0</v>
      </c>
      <c r="EO48" s="92"/>
      <c r="EP48" s="99"/>
      <c r="EQ48" s="99"/>
      <c r="ER48" s="141"/>
      <c r="ES48" s="141"/>
      <c r="ET48" s="141"/>
      <c r="EU48" s="141"/>
      <c r="EV48" s="141"/>
      <c r="EW48" s="103"/>
      <c r="EX48" s="103"/>
      <c r="EY48" s="102"/>
      <c r="EZ48" s="102"/>
    </row>
    <row r="49" ht="18.0" customHeight="1">
      <c r="A49" s="107"/>
      <c r="B49" s="120" t="str">
        <f t="array" ref="B49">IFERROR(INDEX('Imputación TR - Proyecto-Quince'!$A:$A,MATCH(E49,'Imputación TR - Proyecto-Quince'!$C:$C,0)),"")</f>
        <v>SDATOOL-42226</v>
      </c>
      <c r="C49" s="120" t="str">
        <f t="array" ref="C49">IFERROR(INDEX('Imputación TR - Proyecto-Quince'!$B:$B,MATCH(E49,'Imputación TR - Proyecto-Quince'!$C:$C,0)),"")</f>
        <v>Strategic Boost Alta y Mantenimiento de Emisiones y Emisores.</v>
      </c>
      <c r="D49" s="120"/>
      <c r="E49" s="110" t="s">
        <v>41</v>
      </c>
      <c r="F49" s="116" t="str">
        <f t="shared" si="88"/>
        <v/>
      </c>
      <c r="G49" s="76" t="s">
        <v>83</v>
      </c>
      <c r="H49" s="71" t="s">
        <v>81</v>
      </c>
      <c r="I49" s="113" t="str">
        <f t="shared" si="89"/>
        <v>-</v>
      </c>
      <c r="J49" s="120">
        <f t="shared" si="69"/>
        <v>15</v>
      </c>
      <c r="K49" s="116"/>
      <c r="L49" s="114"/>
      <c r="M49" s="114"/>
      <c r="N49" s="115"/>
      <c r="O49" s="115"/>
      <c r="P49" s="116"/>
      <c r="Q49" s="116"/>
      <c r="R49" s="110"/>
      <c r="S49" s="110"/>
      <c r="T49" s="110"/>
      <c r="U49" s="115"/>
      <c r="V49" s="115"/>
      <c r="W49" s="110">
        <v>5.0</v>
      </c>
      <c r="X49" s="110">
        <v>5.0</v>
      </c>
      <c r="Y49" s="227">
        <v>5.0</v>
      </c>
      <c r="Z49" s="94"/>
      <c r="AA49" s="107"/>
      <c r="AB49" s="116" t="str">
        <f t="array" ref="AB49">IFERROR(INDEX('Resument Total - Ofertas Proyec'!$B:$B,MATCH(AE49,'Resument Total - Ofertas Proyec'!$D:$D,0)),"")</f>
        <v/>
      </c>
      <c r="AC49" s="116" t="str">
        <f t="array" ref="AC49">IFERROR(INDEX('Imputación TR - Proyecto-Quince'!$B:$B,MATCH(AE49,'Imputación TR - Proyecto-Quince'!$C:$C,0)),"")</f>
        <v/>
      </c>
      <c r="AD49" s="116"/>
      <c r="AE49" s="116"/>
      <c r="AF49" s="116" t="str">
        <f t="shared" si="70"/>
        <v/>
      </c>
      <c r="AG49" s="120" t="s">
        <v>82</v>
      </c>
      <c r="AH49" s="116"/>
      <c r="AI49" s="113" t="str">
        <f t="shared" si="71"/>
        <v>-</v>
      </c>
      <c r="AJ49" s="120">
        <f t="shared" si="72"/>
        <v>0</v>
      </c>
      <c r="AK49" s="120"/>
      <c r="AL49" s="120"/>
      <c r="AM49" s="121"/>
      <c r="AN49" s="121"/>
      <c r="AO49" s="120"/>
      <c r="AP49" s="120"/>
      <c r="AQ49" s="120"/>
      <c r="AR49" s="120"/>
      <c r="AS49" s="120"/>
      <c r="AT49" s="121"/>
      <c r="AU49" s="121"/>
      <c r="AV49" s="120"/>
      <c r="AW49" s="120"/>
      <c r="AX49" s="120"/>
      <c r="AY49" s="142"/>
      <c r="AZ49" s="94"/>
      <c r="BA49" s="107"/>
      <c r="BB49" s="116" t="str">
        <f t="array" ref="BB49">IFERROR(INDEX('Resument Total - Ofertas Proyec'!$B:$B,MATCH(BE49,'Resument Total - Ofertas Proyec'!$D:$D,0)),"")</f>
        <v/>
      </c>
      <c r="BC49" s="116" t="str">
        <f t="array" ref="BC49">IFERROR(INDEX('Imputación TR - Proyecto-Quince'!$B:$B,MATCH(BE49,'Imputación TR - Proyecto-Quince'!$C:$C,0)),"")</f>
        <v/>
      </c>
      <c r="BD49" s="116"/>
      <c r="BE49" s="116"/>
      <c r="BF49" s="116" t="str">
        <f t="shared" si="73"/>
        <v/>
      </c>
      <c r="BG49" s="120" t="s">
        <v>82</v>
      </c>
      <c r="BH49" s="116"/>
      <c r="BI49" s="113" t="str">
        <f t="shared" si="74"/>
        <v>-</v>
      </c>
      <c r="BJ49" s="120">
        <f t="shared" si="75"/>
        <v>0</v>
      </c>
      <c r="BK49" s="123"/>
      <c r="BL49" s="123"/>
      <c r="BM49" s="123"/>
      <c r="BN49" s="116"/>
      <c r="BO49" s="116"/>
      <c r="BP49" s="116"/>
      <c r="BQ49" s="116"/>
      <c r="BR49" s="116"/>
      <c r="BS49" s="123"/>
      <c r="BT49" s="123"/>
      <c r="BU49" s="116"/>
      <c r="BV49" s="116"/>
      <c r="BW49" s="116"/>
      <c r="BX49" s="116"/>
      <c r="BY49" s="116"/>
      <c r="BZ49" s="94"/>
      <c r="CA49" s="107"/>
      <c r="CB49" s="116" t="str">
        <f t="array" ref="CB49">IFERROR(INDEX('Resument Total - Ofertas Proyec'!$B:$B,MATCH(CE49,'Resument Total - Ofertas Proyec'!$D:$D,0)),"")</f>
        <v/>
      </c>
      <c r="CC49" s="116" t="str">
        <f t="array" ref="CC49">IFERROR(INDEX('Imputación TR - Proyecto-Quince'!$B:$B,MATCH(CE49,'Imputación TR - Proyecto-Quince'!$C:$C,0)),"")</f>
        <v/>
      </c>
      <c r="CD49" s="116"/>
      <c r="CE49" s="116"/>
      <c r="CF49" s="116" t="str">
        <f t="shared" si="56"/>
        <v/>
      </c>
      <c r="CG49" s="120" t="s">
        <v>82</v>
      </c>
      <c r="CH49" s="116"/>
      <c r="CI49" s="113" t="str">
        <f t="shared" si="76"/>
        <v>-</v>
      </c>
      <c r="CJ49" s="120">
        <f t="shared" si="77"/>
        <v>0</v>
      </c>
      <c r="CK49" s="123"/>
      <c r="CL49" s="123"/>
      <c r="CM49" s="116"/>
      <c r="CN49" s="116"/>
      <c r="CO49" s="116"/>
      <c r="CP49" s="116"/>
      <c r="CQ49" s="116"/>
      <c r="CR49" s="123"/>
      <c r="CS49" s="123"/>
      <c r="CT49" s="116"/>
      <c r="CU49" s="116"/>
      <c r="CV49" s="116"/>
      <c r="CW49" s="116"/>
      <c r="CX49" s="116"/>
      <c r="CY49" s="123"/>
      <c r="CZ49" s="124"/>
      <c r="DA49" s="94"/>
      <c r="DB49" s="107"/>
      <c r="DC49" s="116" t="str">
        <f t="array" ref="DC49">IFERROR(INDEX('Resument Total - Ofertas Proyec'!$B:$B,MATCH(DF49,'Resument Total - Ofertas Proyec'!$D:$D,0)),"")</f>
        <v/>
      </c>
      <c r="DD49" s="116" t="str">
        <f t="array" ref="DD49">IFERROR(INDEX('Imputación TR - Proyecto-Quince'!$B:$B,MATCH(DF49,'Imputación TR - Proyecto-Quince'!$C:$C,0)),"")</f>
        <v/>
      </c>
      <c r="DE49" s="193" t="s">
        <v>64</v>
      </c>
      <c r="DF49" s="210"/>
      <c r="DG49" s="210" t="str">
        <f t="shared" si="59"/>
        <v/>
      </c>
      <c r="DH49" s="223" t="s">
        <v>80</v>
      </c>
      <c r="DI49" s="224" t="s">
        <v>81</v>
      </c>
      <c r="DJ49" s="113" t="str">
        <f t="shared" si="60"/>
        <v>-</v>
      </c>
      <c r="DK49" s="120">
        <f t="shared" si="78"/>
        <v>51</v>
      </c>
      <c r="DL49" s="116"/>
      <c r="DM49" s="116"/>
      <c r="DN49" s="116"/>
      <c r="DO49" s="116"/>
      <c r="DP49" s="116"/>
      <c r="DQ49" s="123"/>
      <c r="DR49" s="123"/>
      <c r="DS49" s="213">
        <v>9.0</v>
      </c>
      <c r="DT49" s="213">
        <v>9.0</v>
      </c>
      <c r="DU49" s="213">
        <v>9.0</v>
      </c>
      <c r="DV49" s="213">
        <v>9.0</v>
      </c>
      <c r="DW49" s="213">
        <v>6.0</v>
      </c>
      <c r="DX49" s="214"/>
      <c r="DY49" s="214"/>
      <c r="DZ49" s="213">
        <v>9.0</v>
      </c>
      <c r="EA49" s="94"/>
      <c r="EB49" s="107"/>
      <c r="EC49" s="116" t="str">
        <f t="array" ref="EC49">IFERROR(INDEX('Resument Total - Ofertas Proyec'!$B:$B,MATCH(EF49,'Resument Total - Ofertas Proyec'!$D:$D,0)),"")</f>
        <v/>
      </c>
      <c r="ED49" s="116" t="str">
        <f t="array" ref="ED49">IFERROR(INDEX('Imputación TR - Proyecto-Quince'!$B:$B,MATCH(EF49,'Imputación TR - Proyecto-Quince'!$C:$C,0)),"")</f>
        <v/>
      </c>
      <c r="EE49" s="110" t="s">
        <v>64</v>
      </c>
      <c r="EF49" s="119"/>
      <c r="EG49" s="119" t="s">
        <v>88</v>
      </c>
      <c r="EH49" s="112" t="s">
        <v>80</v>
      </c>
      <c r="EI49" s="110" t="s">
        <v>81</v>
      </c>
      <c r="EJ49" s="113" t="str">
        <f t="shared" si="79"/>
        <v>-</v>
      </c>
      <c r="EK49" s="120">
        <f t="shared" si="80"/>
        <v>60</v>
      </c>
      <c r="EL49" s="116"/>
      <c r="EM49" s="116"/>
      <c r="EN49" s="116"/>
      <c r="EO49" s="116"/>
      <c r="EP49" s="123"/>
      <c r="EQ49" s="123"/>
      <c r="ER49" s="131">
        <v>9.0</v>
      </c>
      <c r="ES49" s="131">
        <v>9.0</v>
      </c>
      <c r="ET49" s="131">
        <v>9.0</v>
      </c>
      <c r="EU49" s="131">
        <v>9.0</v>
      </c>
      <c r="EV49" s="131">
        <v>6.0</v>
      </c>
      <c r="EW49" s="126"/>
      <c r="EX49" s="126"/>
      <c r="EY49" s="131">
        <v>9.0</v>
      </c>
      <c r="EZ49" s="131">
        <v>9.0</v>
      </c>
    </row>
    <row r="50" ht="18.0" customHeight="1">
      <c r="A50" s="55" t="s">
        <v>106</v>
      </c>
      <c r="B50" s="56" t="str">
        <f t="array" ref="B50">IFERROR(INDEX('Imputación TR - Proyecto-Quince'!$A:$A,MATCH(E50,'Imputación TR - Proyecto-Quince'!$C:$C,0)),"")</f>
        <v/>
      </c>
      <c r="C50" s="56"/>
      <c r="D50" s="57" t="s">
        <v>64</v>
      </c>
      <c r="E50" s="58"/>
      <c r="F50" s="58"/>
      <c r="G50" s="57" t="s">
        <v>80</v>
      </c>
      <c r="H50" s="59" t="s">
        <v>81</v>
      </c>
      <c r="I50" s="60" t="s">
        <v>82</v>
      </c>
      <c r="J50" s="57">
        <f t="shared" si="69"/>
        <v>87</v>
      </c>
      <c r="K50" s="61">
        <v>9.0</v>
      </c>
      <c r="L50" s="62">
        <v>9.0</v>
      </c>
      <c r="M50" s="62"/>
      <c r="N50" s="63"/>
      <c r="O50" s="63"/>
      <c r="P50" s="64">
        <v>9.0</v>
      </c>
      <c r="Q50" s="64">
        <v>9.0</v>
      </c>
      <c r="R50" s="64">
        <v>9.0</v>
      </c>
      <c r="S50" s="64">
        <v>9.0</v>
      </c>
      <c r="T50" s="64">
        <v>6.0</v>
      </c>
      <c r="U50" s="63"/>
      <c r="V50" s="63"/>
      <c r="W50" s="64">
        <v>9.0</v>
      </c>
      <c r="X50" s="64">
        <v>9.0</v>
      </c>
      <c r="Y50" s="65">
        <v>9.0</v>
      </c>
      <c r="Z50" s="66"/>
      <c r="AA50" s="55" t="s">
        <v>106</v>
      </c>
      <c r="AB50" s="67" t="str">
        <f t="array" ref="AB50">IFERROR(INDEX('Resument Total - Ofertas Proyec'!$B:$B,MATCH(AE50,'Resument Total - Ofertas Proyec'!$D:$D,0)),"")</f>
        <v/>
      </c>
      <c r="AC50" s="67" t="str">
        <f t="array" ref="AC50">IFERROR(INDEX('Imputación TR - Proyecto-Quince'!$B:$B,MATCH(AE50,'Imputación TR - Proyecto-Quince'!$C:$C,0)),"")</f>
        <v/>
      </c>
      <c r="AD50" s="75" t="s">
        <v>64</v>
      </c>
      <c r="AE50" s="95"/>
      <c r="AF50" s="46" t="str">
        <f t="shared" si="70"/>
        <v/>
      </c>
      <c r="AG50" s="75" t="s">
        <v>80</v>
      </c>
      <c r="AH50" s="78" t="s">
        <v>81</v>
      </c>
      <c r="AI50" s="96" t="str">
        <f t="shared" si="71"/>
        <v>-</v>
      </c>
      <c r="AJ50" s="46">
        <f t="shared" si="72"/>
        <v>93</v>
      </c>
      <c r="AK50" s="71">
        <v>9.0</v>
      </c>
      <c r="AL50" s="71">
        <v>6.0</v>
      </c>
      <c r="AM50" s="97"/>
      <c r="AN50" s="97"/>
      <c r="AO50" s="98">
        <v>9.0</v>
      </c>
      <c r="AP50" s="98">
        <v>9.0</v>
      </c>
      <c r="AQ50" s="98">
        <v>9.0</v>
      </c>
      <c r="AR50" s="98">
        <v>9.0</v>
      </c>
      <c r="AS50" s="98">
        <v>6.0</v>
      </c>
      <c r="AT50" s="97"/>
      <c r="AU50" s="97"/>
      <c r="AV50" s="98">
        <v>9.0</v>
      </c>
      <c r="AW50" s="98">
        <v>9.0</v>
      </c>
      <c r="AX50" s="98">
        <v>9.0</v>
      </c>
      <c r="AY50" s="98">
        <v>9.0</v>
      </c>
      <c r="AZ50" s="66"/>
      <c r="BA50" s="55" t="s">
        <v>106</v>
      </c>
      <c r="BB50" s="67" t="str">
        <f t="array" ref="BB50">IFERROR(INDEX('Resument Total - Ofertas Proyec'!$B:$B,MATCH(BE50,'Resument Total - Ofertas Proyec'!$D:$D,0)),"")</f>
        <v/>
      </c>
      <c r="BC50" s="67" t="str">
        <f t="array" ref="BC50">IFERROR(INDEX('Imputación TR - Proyecto-Quince'!$B:$B,MATCH(BE50,'Imputación TR - Proyecto-Quince'!$C:$C,0)),"")</f>
        <v/>
      </c>
      <c r="BD50" s="95"/>
      <c r="BE50" s="46"/>
      <c r="BF50" s="46" t="str">
        <f t="shared" si="73"/>
        <v/>
      </c>
      <c r="BG50" s="46" t="s">
        <v>82</v>
      </c>
      <c r="BH50" s="59"/>
      <c r="BI50" s="60" t="str">
        <f t="shared" si="74"/>
        <v>-</v>
      </c>
      <c r="BJ50" s="46">
        <f t="shared" si="75"/>
        <v>0</v>
      </c>
      <c r="BK50" s="80"/>
      <c r="BL50" s="80"/>
      <c r="BM50" s="80"/>
      <c r="BN50" s="59"/>
      <c r="BO50" s="59"/>
      <c r="BP50" s="59"/>
      <c r="BQ50" s="59"/>
      <c r="BR50" s="59"/>
      <c r="BS50" s="80"/>
      <c r="BT50" s="80"/>
      <c r="BU50" s="59"/>
      <c r="BV50" s="59"/>
      <c r="BW50" s="59"/>
      <c r="BX50" s="59"/>
      <c r="BY50" s="59"/>
      <c r="BZ50" s="66"/>
      <c r="CA50" s="55" t="s">
        <v>106</v>
      </c>
      <c r="CB50" s="67" t="str">
        <f t="array" ref="CB50">IFERROR(INDEX('Resument Total - Ofertas Proyec'!$B:$B,MATCH(CE50,'Resument Total - Ofertas Proyec'!$D:$D,0)),"")</f>
        <v/>
      </c>
      <c r="CC50" s="67" t="str">
        <f t="array" ref="CC50">IFERROR(INDEX('Imputación TR - Proyecto-Quince'!$B:$B,MATCH(CE50,'Imputación TR - Proyecto-Quince'!$C:$C,0)),"")</f>
        <v/>
      </c>
      <c r="CD50" s="95"/>
      <c r="CE50" s="46"/>
      <c r="CF50" s="46" t="str">
        <f t="shared" si="56"/>
        <v/>
      </c>
      <c r="CG50" s="46" t="s">
        <v>82</v>
      </c>
      <c r="CH50" s="59"/>
      <c r="CI50" s="60" t="str">
        <f t="shared" si="76"/>
        <v>-</v>
      </c>
      <c r="CJ50" s="46">
        <f t="shared" si="77"/>
        <v>0</v>
      </c>
      <c r="CK50" s="80"/>
      <c r="CL50" s="80"/>
      <c r="CM50" s="59"/>
      <c r="CN50" s="59"/>
      <c r="CO50" s="59"/>
      <c r="CP50" s="59"/>
      <c r="CQ50" s="59"/>
      <c r="CR50" s="80"/>
      <c r="CS50" s="80"/>
      <c r="CT50" s="59"/>
      <c r="CU50" s="59"/>
      <c r="CV50" s="59"/>
      <c r="CW50" s="59"/>
      <c r="CX50" s="59"/>
      <c r="CY50" s="80"/>
      <c r="CZ50" s="81"/>
      <c r="DA50" s="66"/>
      <c r="DB50" s="55" t="s">
        <v>106</v>
      </c>
      <c r="DC50" s="67" t="str">
        <f t="array" ref="DC50">IFERROR(INDEX('Resument Total - Ofertas Proyec'!$B:$B,MATCH(DF50,'Resument Total - Ofertas Proyec'!$D:$D,0)),"")</f>
        <v/>
      </c>
      <c r="DD50" s="67" t="str">
        <f t="array" ref="DD50">IFERROR(INDEX('Imputación TR - Proyecto-Quince'!$B:$B,MATCH(DF50,'Imputación TR - Proyecto-Quince'!$C:$C,0)),"")</f>
        <v/>
      </c>
      <c r="DE50" s="95"/>
      <c r="DF50" s="46"/>
      <c r="DG50" s="46" t="str">
        <f t="shared" si="59"/>
        <v/>
      </c>
      <c r="DH50" s="46" t="s">
        <v>82</v>
      </c>
      <c r="DI50" s="59"/>
      <c r="DJ50" s="60" t="str">
        <f t="shared" si="60"/>
        <v>-</v>
      </c>
      <c r="DK50" s="46">
        <f t="shared" si="78"/>
        <v>0</v>
      </c>
      <c r="DL50" s="59"/>
      <c r="DM50" s="59"/>
      <c r="DN50" s="59"/>
      <c r="DO50" s="59"/>
      <c r="DP50" s="59"/>
      <c r="DQ50" s="80"/>
      <c r="DR50" s="80"/>
      <c r="DS50" s="87"/>
      <c r="DT50" s="87"/>
      <c r="DU50" s="87"/>
      <c r="DV50" s="87"/>
      <c r="DW50" s="87"/>
      <c r="DX50" s="82"/>
      <c r="DY50" s="82"/>
      <c r="DZ50" s="87"/>
      <c r="EA50" s="66"/>
      <c r="EB50" s="55" t="s">
        <v>106</v>
      </c>
      <c r="EC50" s="67" t="str">
        <f t="array" ref="EC50">IFERROR(INDEX('Resument Total - Ofertas Proyec'!$B:$B,MATCH(EF50,'Resument Total - Ofertas Proyec'!$D:$D,0)),"")</f>
        <v/>
      </c>
      <c r="ED50" s="67" t="str">
        <f t="array" ref="ED50">IFERROR(INDEX('Imputación TR - Proyecto-Quince'!$B:$B,MATCH(EF50,'Imputación TR - Proyecto-Quince'!$C:$C,0)),"")</f>
        <v/>
      </c>
      <c r="EE50" s="95"/>
      <c r="EF50" s="46"/>
      <c r="EG50" s="46" t="str">
        <f t="shared" ref="EG50:EG61" si="90">IF(EJ50="Otras Tecnologías","GoldenSource","")</f>
        <v/>
      </c>
      <c r="EH50" s="46" t="s">
        <v>82</v>
      </c>
      <c r="EI50" s="59"/>
      <c r="EJ50" s="60" t="str">
        <f t="shared" si="79"/>
        <v>-</v>
      </c>
      <c r="EK50" s="46">
        <f t="shared" si="80"/>
        <v>0</v>
      </c>
      <c r="EL50" s="59"/>
      <c r="EM50" s="59"/>
      <c r="EN50" s="59"/>
      <c r="EO50" s="59"/>
      <c r="EP50" s="80"/>
      <c r="EQ50" s="80"/>
      <c r="ER50" s="87"/>
      <c r="ES50" s="87"/>
      <c r="ET50" s="87"/>
      <c r="EU50" s="87"/>
      <c r="EV50" s="87"/>
      <c r="EW50" s="82"/>
      <c r="EX50" s="82"/>
      <c r="EY50" s="87"/>
      <c r="EZ50" s="87"/>
    </row>
    <row r="51" ht="18.0" customHeight="1">
      <c r="A51" s="88"/>
      <c r="B51" s="143" t="str">
        <f t="array" ref="B51">IFERROR(INDEX('Imputación TR - Proyecto-Quince'!$A:$A,MATCH(E51,'Imputación TR - Proyecto-Quince'!$C:$C,0)),"")</f>
        <v/>
      </c>
      <c r="C51" s="143" t="str">
        <f t="array" ref="C51">IFERROR(INDEX('Imputación TR - Proyecto-Quince'!$B:$B,MATCH(E51,'Imputación TR - Proyecto-Quince'!$C:$C,0)),"")</f>
        <v/>
      </c>
      <c r="D51" s="98"/>
      <c r="E51" s="143"/>
      <c r="F51" s="143" t="str">
        <f t="shared" ref="F51:F52" si="91">IF(I51="Otras Tecnologías","GoldenSource","")</f>
        <v/>
      </c>
      <c r="G51" s="143" t="s">
        <v>82</v>
      </c>
      <c r="H51" s="98"/>
      <c r="I51" s="70" t="str">
        <f t="shared" ref="I51:I52" si="92">IF(OR(H51="Codificación",H51="Pruebas"),"Otras Tecnologías","-")</f>
        <v>-</v>
      </c>
      <c r="J51" s="143">
        <f t="shared" si="69"/>
        <v>0</v>
      </c>
      <c r="K51" s="92"/>
      <c r="L51" s="90"/>
      <c r="M51" s="90"/>
      <c r="N51" s="91"/>
      <c r="O51" s="91"/>
      <c r="P51" s="92"/>
      <c r="Q51" s="92"/>
      <c r="R51" s="92"/>
      <c r="S51" s="92"/>
      <c r="T51" s="92"/>
      <c r="U51" s="91"/>
      <c r="V51" s="91"/>
      <c r="W51" s="92"/>
      <c r="X51" s="92"/>
      <c r="Y51" s="93"/>
      <c r="Z51" s="94"/>
      <c r="AA51" s="88"/>
      <c r="AB51" s="143" t="str">
        <f t="array" ref="AB51">IFERROR(INDEX('Resument Total - Ofertas Proyec'!$B:$B,MATCH(AE51,'Resument Total - Ofertas Proyec'!$D:$D,0)),"")</f>
        <v/>
      </c>
      <c r="AC51" s="143" t="str">
        <f t="array" ref="AC51">IFERROR(INDEX('Imputación TR - Proyecto-Quince'!$B:$B,MATCH(AE51,'Imputación TR - Proyecto-Quince'!$C:$C,0)),"")</f>
        <v/>
      </c>
      <c r="AD51" s="92"/>
      <c r="AE51" s="143"/>
      <c r="AF51" s="143" t="str">
        <f t="shared" si="70"/>
        <v/>
      </c>
      <c r="AG51" s="143" t="s">
        <v>82</v>
      </c>
      <c r="AH51" s="98"/>
      <c r="AI51" s="70" t="str">
        <f t="shared" si="71"/>
        <v>-</v>
      </c>
      <c r="AJ51" s="143">
        <f t="shared" si="72"/>
        <v>0</v>
      </c>
      <c r="AK51" s="71"/>
      <c r="AL51" s="98"/>
      <c r="AM51" s="97"/>
      <c r="AN51" s="97"/>
      <c r="AO51" s="98"/>
      <c r="AP51" s="98"/>
      <c r="AQ51" s="98"/>
      <c r="AR51" s="98"/>
      <c r="AS51" s="98"/>
      <c r="AT51" s="97"/>
      <c r="AU51" s="97"/>
      <c r="AV51" s="98"/>
      <c r="AW51" s="98"/>
      <c r="AX51" s="98"/>
      <c r="AY51" s="137"/>
      <c r="AZ51" s="94"/>
      <c r="BA51" s="88"/>
      <c r="BB51" s="143" t="str">
        <f t="array" ref="BB51">IFERROR(INDEX('Resument Total - Ofertas Proyec'!$B:$B,MATCH(BE51,'Resument Total - Ofertas Proyec'!$D:$D,0)),"")</f>
        <v/>
      </c>
      <c r="BC51" s="143" t="str">
        <f t="array" ref="BC51">IFERROR(INDEX('Imputación TR - Proyecto-Quince'!$B:$B,MATCH(BE51,'Imputación TR - Proyecto-Quince'!$C:$C,0)),"")</f>
        <v/>
      </c>
      <c r="BD51" s="92"/>
      <c r="BE51" s="143"/>
      <c r="BF51" s="143" t="str">
        <f t="shared" si="73"/>
        <v/>
      </c>
      <c r="BG51" s="143" t="s">
        <v>82</v>
      </c>
      <c r="BH51" s="98"/>
      <c r="BI51" s="70" t="str">
        <f t="shared" si="74"/>
        <v>-</v>
      </c>
      <c r="BJ51" s="143">
        <f t="shared" si="75"/>
        <v>0</v>
      </c>
      <c r="BK51" s="99"/>
      <c r="BL51" s="99"/>
      <c r="BM51" s="99"/>
      <c r="BN51" s="92"/>
      <c r="BO51" s="92"/>
      <c r="BP51" s="92"/>
      <c r="BQ51" s="92"/>
      <c r="BR51" s="92"/>
      <c r="BS51" s="99"/>
      <c r="BT51" s="99"/>
      <c r="BU51" s="92"/>
      <c r="BV51" s="92"/>
      <c r="BW51" s="92"/>
      <c r="BX51" s="92"/>
      <c r="BY51" s="92"/>
      <c r="BZ51" s="94"/>
      <c r="CA51" s="88"/>
      <c r="CB51" s="143" t="str">
        <f t="array" ref="CB51">IFERROR(INDEX('Resument Total - Ofertas Proyec'!$B:$B,MATCH(CE51,'Resument Total - Ofertas Proyec'!$D:$D,0)),"")</f>
        <v/>
      </c>
      <c r="CC51" s="143" t="str">
        <f t="array" ref="CC51">IFERROR(INDEX('Imputación TR - Proyecto-Quince'!$B:$B,MATCH(CE51,'Imputación TR - Proyecto-Quince'!$C:$C,0)),"")</f>
        <v/>
      </c>
      <c r="CD51" s="92"/>
      <c r="CE51" s="143"/>
      <c r="CF51" s="143" t="str">
        <f t="shared" si="56"/>
        <v/>
      </c>
      <c r="CG51" s="143" t="s">
        <v>82</v>
      </c>
      <c r="CH51" s="98"/>
      <c r="CI51" s="70" t="str">
        <f t="shared" si="76"/>
        <v>-</v>
      </c>
      <c r="CJ51" s="143">
        <f t="shared" si="77"/>
        <v>0</v>
      </c>
      <c r="CK51" s="99"/>
      <c r="CL51" s="99"/>
      <c r="CM51" s="92"/>
      <c r="CN51" s="92"/>
      <c r="CO51" s="92"/>
      <c r="CP51" s="92"/>
      <c r="CQ51" s="92"/>
      <c r="CR51" s="99"/>
      <c r="CS51" s="99"/>
      <c r="CT51" s="92"/>
      <c r="CU51" s="92"/>
      <c r="CV51" s="92"/>
      <c r="CW51" s="92"/>
      <c r="CX51" s="92"/>
      <c r="CY51" s="99"/>
      <c r="CZ51" s="100"/>
      <c r="DA51" s="94"/>
      <c r="DB51" s="88"/>
      <c r="DC51" s="143" t="str">
        <f t="array" ref="DC51">IFERROR(INDEX('Resument Total - Ofertas Proyec'!$B:$B,MATCH(DF51,'Resument Total - Ofertas Proyec'!$D:$D,0)),"")</f>
        <v/>
      </c>
      <c r="DD51" s="143" t="str">
        <f t="array" ref="DD51">IFERROR(INDEX('Imputación TR - Proyecto-Quince'!$B:$B,MATCH(DF51,'Imputación TR - Proyecto-Quince'!$C:$C,0)),"")</f>
        <v/>
      </c>
      <c r="DE51" s="92"/>
      <c r="DF51" s="143"/>
      <c r="DG51" s="143" t="str">
        <f t="shared" si="59"/>
        <v/>
      </c>
      <c r="DH51" s="143" t="s">
        <v>82</v>
      </c>
      <c r="DI51" s="98"/>
      <c r="DJ51" s="70" t="str">
        <f t="shared" si="60"/>
        <v>-</v>
      </c>
      <c r="DK51" s="143">
        <f t="shared" si="78"/>
        <v>0</v>
      </c>
      <c r="DL51" s="92"/>
      <c r="DM51" s="92"/>
      <c r="DN51" s="92"/>
      <c r="DO51" s="92"/>
      <c r="DP51" s="92"/>
      <c r="DQ51" s="99"/>
      <c r="DR51" s="99"/>
      <c r="DS51" s="101"/>
      <c r="DT51" s="101"/>
      <c r="DU51" s="101"/>
      <c r="DV51" s="101"/>
      <c r="DW51" s="101"/>
      <c r="DX51" s="103"/>
      <c r="DY51" s="103"/>
      <c r="DZ51" s="101"/>
      <c r="EA51" s="94"/>
      <c r="EB51" s="88"/>
      <c r="EC51" s="143" t="str">
        <f t="array" ref="EC51">IFERROR(INDEX('Resument Total - Ofertas Proyec'!$B:$B,MATCH(EF51,'Resument Total - Ofertas Proyec'!$D:$D,0)),"")</f>
        <v/>
      </c>
      <c r="ED51" s="143" t="str">
        <f t="array" ref="ED51">IFERROR(INDEX('Imputación TR - Proyecto-Quince'!$B:$B,MATCH(EF51,'Imputación TR - Proyecto-Quince'!$C:$C,0)),"")</f>
        <v/>
      </c>
      <c r="EE51" s="92"/>
      <c r="EF51" s="143"/>
      <c r="EG51" s="143" t="str">
        <f t="shared" si="90"/>
        <v/>
      </c>
      <c r="EH51" s="143" t="s">
        <v>82</v>
      </c>
      <c r="EI51" s="98"/>
      <c r="EJ51" s="70" t="str">
        <f t="shared" si="79"/>
        <v>-</v>
      </c>
      <c r="EK51" s="143">
        <f t="shared" si="80"/>
        <v>0</v>
      </c>
      <c r="EL51" s="92"/>
      <c r="EM51" s="92"/>
      <c r="EN51" s="92"/>
      <c r="EO51" s="92"/>
      <c r="EP51" s="99"/>
      <c r="EQ51" s="99"/>
      <c r="ER51" s="101"/>
      <c r="ES51" s="101"/>
      <c r="ET51" s="101"/>
      <c r="EU51" s="101"/>
      <c r="EV51" s="101"/>
      <c r="EW51" s="103"/>
      <c r="EX51" s="103"/>
      <c r="EY51" s="101"/>
      <c r="EZ51" s="101"/>
    </row>
    <row r="52" ht="18.0" customHeight="1">
      <c r="A52" s="107"/>
      <c r="B52" s="190" t="str">
        <f t="array" ref="B52">IFERROR(INDEX('Imputación TR - Proyecto-Quince'!$A:$A,MATCH(E52,'Imputación TR - Proyecto-Quince'!$C:$C,0)),"")</f>
        <v/>
      </c>
      <c r="C52" s="190" t="str">
        <f t="array" ref="C52">IFERROR(INDEX('Imputación TR - Proyecto-Quince'!$B:$B,MATCH(E52,'Imputación TR - Proyecto-Quince'!$C:$C,0)),"")</f>
        <v/>
      </c>
      <c r="D52" s="120"/>
      <c r="E52" s="190"/>
      <c r="F52" s="190" t="str">
        <f t="shared" si="91"/>
        <v/>
      </c>
      <c r="G52" s="190" t="s">
        <v>82</v>
      </c>
      <c r="H52" s="120"/>
      <c r="I52" s="113" t="str">
        <f t="shared" si="92"/>
        <v>-</v>
      </c>
      <c r="J52" s="190">
        <f t="shared" si="69"/>
        <v>0</v>
      </c>
      <c r="K52" s="116"/>
      <c r="L52" s="114"/>
      <c r="M52" s="114"/>
      <c r="N52" s="115"/>
      <c r="O52" s="115"/>
      <c r="P52" s="116"/>
      <c r="Q52" s="116"/>
      <c r="R52" s="116"/>
      <c r="S52" s="116"/>
      <c r="T52" s="116"/>
      <c r="U52" s="115"/>
      <c r="V52" s="115"/>
      <c r="W52" s="116"/>
      <c r="X52" s="116"/>
      <c r="Y52" s="117"/>
      <c r="Z52" s="94"/>
      <c r="AA52" s="107"/>
      <c r="AB52" s="190" t="str">
        <f t="array" ref="AB52">IFERROR(INDEX('Resument Total - Ofertas Proyec'!$B:$B,MATCH(AE52,'Resument Total - Ofertas Proyec'!$D:$D,0)),"")</f>
        <v/>
      </c>
      <c r="AC52" s="190" t="str">
        <f t="array" ref="AC52">IFERROR(INDEX('Imputación TR - Proyecto-Quince'!$B:$B,MATCH(AE52,'Imputación TR - Proyecto-Quince'!$C:$C,0)),"")</f>
        <v/>
      </c>
      <c r="AD52" s="116"/>
      <c r="AE52" s="190"/>
      <c r="AF52" s="190" t="str">
        <f t="shared" si="70"/>
        <v/>
      </c>
      <c r="AG52" s="190" t="s">
        <v>82</v>
      </c>
      <c r="AH52" s="120"/>
      <c r="AI52" s="113" t="str">
        <f t="shared" si="71"/>
        <v>-</v>
      </c>
      <c r="AJ52" s="190">
        <f t="shared" si="72"/>
        <v>0</v>
      </c>
      <c r="AK52" s="120"/>
      <c r="AL52" s="120"/>
      <c r="AM52" s="121"/>
      <c r="AN52" s="121"/>
      <c r="AO52" s="120"/>
      <c r="AP52" s="120"/>
      <c r="AQ52" s="120"/>
      <c r="AR52" s="120"/>
      <c r="AS52" s="120"/>
      <c r="AT52" s="121"/>
      <c r="AU52" s="121"/>
      <c r="AV52" s="120"/>
      <c r="AW52" s="120"/>
      <c r="AX52" s="120"/>
      <c r="AY52" s="142"/>
      <c r="AZ52" s="94"/>
      <c r="BA52" s="107"/>
      <c r="BB52" s="190" t="str">
        <f t="array" ref="BB52">IFERROR(INDEX('Resument Total - Ofertas Proyec'!$B:$B,MATCH(BE52,'Resument Total - Ofertas Proyec'!$D:$D,0)),"")</f>
        <v/>
      </c>
      <c r="BC52" s="190" t="str">
        <f t="array" ref="BC52">IFERROR(INDEX('Imputación TR - Proyecto-Quince'!$B:$B,MATCH(BE52,'Imputación TR - Proyecto-Quince'!$C:$C,0)),"")</f>
        <v/>
      </c>
      <c r="BD52" s="116"/>
      <c r="BE52" s="190"/>
      <c r="BF52" s="190" t="str">
        <f t="shared" si="73"/>
        <v/>
      </c>
      <c r="BG52" s="190" t="s">
        <v>82</v>
      </c>
      <c r="BH52" s="120"/>
      <c r="BI52" s="113" t="str">
        <f t="shared" si="74"/>
        <v>-</v>
      </c>
      <c r="BJ52" s="190">
        <f t="shared" si="75"/>
        <v>0</v>
      </c>
      <c r="BK52" s="123"/>
      <c r="BL52" s="123"/>
      <c r="BM52" s="123"/>
      <c r="BN52" s="116"/>
      <c r="BO52" s="116"/>
      <c r="BP52" s="116"/>
      <c r="BQ52" s="116"/>
      <c r="BR52" s="116"/>
      <c r="BS52" s="123"/>
      <c r="BT52" s="123"/>
      <c r="BU52" s="116"/>
      <c r="BV52" s="116"/>
      <c r="BW52" s="116"/>
      <c r="BX52" s="116"/>
      <c r="BY52" s="116"/>
      <c r="BZ52" s="94"/>
      <c r="CA52" s="107"/>
      <c r="CB52" s="190" t="str">
        <f t="array" ref="CB52">IFERROR(INDEX('Resument Total - Ofertas Proyec'!$B:$B,MATCH(CE52,'Resument Total - Ofertas Proyec'!$D:$D,0)),"")</f>
        <v/>
      </c>
      <c r="CC52" s="190" t="str">
        <f t="array" ref="CC52">IFERROR(INDEX('Imputación TR - Proyecto-Quince'!$B:$B,MATCH(CE52,'Imputación TR - Proyecto-Quince'!$C:$C,0)),"")</f>
        <v/>
      </c>
      <c r="CD52" s="116"/>
      <c r="CE52" s="190"/>
      <c r="CF52" s="190" t="str">
        <f t="shared" si="56"/>
        <v/>
      </c>
      <c r="CG52" s="190" t="s">
        <v>82</v>
      </c>
      <c r="CH52" s="120"/>
      <c r="CI52" s="113" t="str">
        <f t="shared" si="76"/>
        <v>-</v>
      </c>
      <c r="CJ52" s="190">
        <f t="shared" si="77"/>
        <v>0</v>
      </c>
      <c r="CK52" s="123"/>
      <c r="CL52" s="123"/>
      <c r="CM52" s="116"/>
      <c r="CN52" s="116"/>
      <c r="CO52" s="116"/>
      <c r="CP52" s="116"/>
      <c r="CQ52" s="116"/>
      <c r="CR52" s="123"/>
      <c r="CS52" s="123"/>
      <c r="CT52" s="116"/>
      <c r="CU52" s="116"/>
      <c r="CV52" s="116"/>
      <c r="CW52" s="116"/>
      <c r="CX52" s="116"/>
      <c r="CY52" s="123"/>
      <c r="CZ52" s="124"/>
      <c r="DA52" s="94"/>
      <c r="DB52" s="107"/>
      <c r="DC52" s="190" t="str">
        <f t="array" ref="DC52">IFERROR(INDEX('Resument Total - Ofertas Proyec'!$B:$B,MATCH(DF52,'Resument Total - Ofertas Proyec'!$D:$D,0)),"")</f>
        <v/>
      </c>
      <c r="DD52" s="190" t="str">
        <f t="array" ref="DD52">IFERROR(INDEX('Imputación TR - Proyecto-Quince'!$B:$B,MATCH(DF52,'Imputación TR - Proyecto-Quince'!$C:$C,0)),"")</f>
        <v/>
      </c>
      <c r="DE52" s="116"/>
      <c r="DF52" s="190"/>
      <c r="DG52" s="190" t="str">
        <f t="shared" si="59"/>
        <v/>
      </c>
      <c r="DH52" s="190" t="s">
        <v>82</v>
      </c>
      <c r="DI52" s="120"/>
      <c r="DJ52" s="113" t="str">
        <f t="shared" si="60"/>
        <v>-</v>
      </c>
      <c r="DK52" s="190">
        <f t="shared" si="78"/>
        <v>0</v>
      </c>
      <c r="DL52" s="116"/>
      <c r="DM52" s="116"/>
      <c r="DN52" s="116"/>
      <c r="DO52" s="116"/>
      <c r="DP52" s="116"/>
      <c r="DQ52" s="123"/>
      <c r="DR52" s="123"/>
      <c r="DS52" s="125"/>
      <c r="DT52" s="125"/>
      <c r="DU52" s="125"/>
      <c r="DV52" s="125"/>
      <c r="DW52" s="125"/>
      <c r="DX52" s="126"/>
      <c r="DY52" s="126"/>
      <c r="DZ52" s="125"/>
      <c r="EA52" s="94"/>
      <c r="EB52" s="107"/>
      <c r="EC52" s="190" t="str">
        <f t="array" ref="EC52">IFERROR(INDEX('Resument Total - Ofertas Proyec'!$B:$B,MATCH(EF52,'Resument Total - Ofertas Proyec'!$D:$D,0)),"")</f>
        <v/>
      </c>
      <c r="ED52" s="190" t="str">
        <f t="array" ref="ED52">IFERROR(INDEX('Imputación TR - Proyecto-Quince'!$B:$B,MATCH(EF52,'Imputación TR - Proyecto-Quince'!$C:$C,0)),"")</f>
        <v/>
      </c>
      <c r="EE52" s="116"/>
      <c r="EF52" s="190"/>
      <c r="EG52" s="190" t="str">
        <f t="shared" si="90"/>
        <v/>
      </c>
      <c r="EH52" s="190" t="s">
        <v>82</v>
      </c>
      <c r="EI52" s="120"/>
      <c r="EJ52" s="113" t="str">
        <f t="shared" si="79"/>
        <v>-</v>
      </c>
      <c r="EK52" s="190">
        <f t="shared" si="80"/>
        <v>0</v>
      </c>
      <c r="EL52" s="116"/>
      <c r="EM52" s="116"/>
      <c r="EN52" s="116"/>
      <c r="EO52" s="116"/>
      <c r="EP52" s="123"/>
      <c r="EQ52" s="123"/>
      <c r="ER52" s="125"/>
      <c r="ES52" s="125"/>
      <c r="ET52" s="125"/>
      <c r="EU52" s="125"/>
      <c r="EV52" s="125"/>
      <c r="EW52" s="126"/>
      <c r="EX52" s="126"/>
      <c r="EY52" s="125"/>
      <c r="EZ52" s="125"/>
    </row>
    <row r="53" ht="18.0" customHeight="1">
      <c r="A53" s="55" t="s">
        <v>107</v>
      </c>
      <c r="B53" s="56" t="str">
        <f t="array" ref="B53">IFERROR(INDEX('Imputación TR - Proyecto-Quince'!$A:$A,MATCH(E53,'Imputación TR - Proyecto-Quince'!$C:$C,0)),"")</f>
        <v/>
      </c>
      <c r="C53" s="56"/>
      <c r="D53" s="57" t="s">
        <v>64</v>
      </c>
      <c r="E53" s="58"/>
      <c r="F53" s="58"/>
      <c r="G53" s="57" t="s">
        <v>80</v>
      </c>
      <c r="H53" s="59" t="s">
        <v>81</v>
      </c>
      <c r="I53" s="60" t="s">
        <v>82</v>
      </c>
      <c r="J53" s="57">
        <f t="shared" si="69"/>
        <v>60</v>
      </c>
      <c r="K53" s="61">
        <v>9.0</v>
      </c>
      <c r="L53" s="62">
        <v>9.0</v>
      </c>
      <c r="M53" s="62"/>
      <c r="N53" s="63"/>
      <c r="O53" s="63"/>
      <c r="P53" s="64">
        <v>9.0</v>
      </c>
      <c r="Q53" s="64">
        <v>9.0</v>
      </c>
      <c r="R53" s="64">
        <v>9.0</v>
      </c>
      <c r="S53" s="64">
        <v>9.0</v>
      </c>
      <c r="T53" s="64">
        <v>6.0</v>
      </c>
      <c r="U53" s="63"/>
      <c r="V53" s="63"/>
      <c r="W53" s="64"/>
      <c r="X53" s="64"/>
      <c r="Y53" s="65"/>
      <c r="Z53" s="66"/>
      <c r="AA53" s="55" t="s">
        <v>107</v>
      </c>
      <c r="AB53" s="67" t="str">
        <f t="array" ref="AB53">IFERROR(INDEX('Resument Total - Ofertas Proyec'!$B:$B,MATCH(AE53,'Resument Total - Ofertas Proyec'!$D:$D,0)),"")</f>
        <v>SDATOOL-49742</v>
      </c>
      <c r="AC53" s="67" t="str">
        <f t="array" ref="AC53">IFERROR(INDEX('Imputación TR - Proyecto-Quince'!$B:$B,MATCH(AE53,'Imputación TR - Proyecto-Quince'!$C:$C,0)),"")</f>
        <v>BRS. Fase 2. Colas MQ + Control M</v>
      </c>
      <c r="AD53" s="58"/>
      <c r="AE53" s="24" t="s">
        <v>30</v>
      </c>
      <c r="AF53" s="57" t="str">
        <f t="shared" si="70"/>
        <v/>
      </c>
      <c r="AG53" s="57" t="s">
        <v>83</v>
      </c>
      <c r="AH53" s="57" t="s">
        <v>81</v>
      </c>
      <c r="AI53" s="60" t="str">
        <f t="shared" si="71"/>
        <v>-</v>
      </c>
      <c r="AJ53" s="57">
        <f t="shared" si="72"/>
        <v>10</v>
      </c>
      <c r="AK53" s="64">
        <v>5.0</v>
      </c>
      <c r="AL53" s="64">
        <v>5.0</v>
      </c>
      <c r="AM53" s="80"/>
      <c r="AN53" s="80"/>
      <c r="AO53" s="59"/>
      <c r="AP53" s="59"/>
      <c r="AQ53" s="59"/>
      <c r="AR53" s="59"/>
      <c r="AS53" s="59"/>
      <c r="AT53" s="80"/>
      <c r="AU53" s="80"/>
      <c r="AV53" s="59"/>
      <c r="AW53" s="59"/>
      <c r="AX53" s="59"/>
      <c r="AY53" s="228"/>
      <c r="AZ53" s="66"/>
      <c r="BA53" s="55" t="s">
        <v>107</v>
      </c>
      <c r="BB53" s="67" t="str">
        <f t="array" ref="BB53">IFERROR(INDEX('Resument Total - Ofertas Proyec'!$B:$B,MATCH(BE53,'Resument Total - Ofertas Proyec'!$D:$D,0)),"")</f>
        <v>SDATOOL-49742</v>
      </c>
      <c r="BC53" s="46" t="str">
        <f t="array" ref="BC53">IFERROR(INDEX('Imputación TR - Proyecto-Quince'!$B:$B,MATCH(BE53,'Imputación TR - Proyecto-Quince'!$C:$C,0)),"")</f>
        <v>BRS. Fase 2. Colas MQ + Control M</v>
      </c>
      <c r="BD53" s="58"/>
      <c r="BE53" s="76" t="s">
        <v>31</v>
      </c>
      <c r="BF53" s="57" t="str">
        <f t="shared" si="73"/>
        <v/>
      </c>
      <c r="BG53" s="77" t="s">
        <v>83</v>
      </c>
      <c r="BH53" s="71" t="s">
        <v>81</v>
      </c>
      <c r="BI53" s="60" t="str">
        <f t="shared" si="74"/>
        <v>-</v>
      </c>
      <c r="BJ53" s="57">
        <f t="shared" si="75"/>
        <v>50</v>
      </c>
      <c r="BK53" s="80"/>
      <c r="BL53" s="80"/>
      <c r="BM53" s="80"/>
      <c r="BN53" s="64">
        <v>5.0</v>
      </c>
      <c r="BO53" s="64">
        <v>5.0</v>
      </c>
      <c r="BP53" s="64">
        <v>5.0</v>
      </c>
      <c r="BQ53" s="64">
        <v>5.0</v>
      </c>
      <c r="BR53" s="64">
        <v>5.0</v>
      </c>
      <c r="BS53" s="80"/>
      <c r="BT53" s="80"/>
      <c r="BU53" s="64">
        <v>5.0</v>
      </c>
      <c r="BV53" s="64">
        <v>5.0</v>
      </c>
      <c r="BW53" s="64">
        <v>5.0</v>
      </c>
      <c r="BX53" s="64">
        <v>5.0</v>
      </c>
      <c r="BY53" s="64">
        <v>5.0</v>
      </c>
      <c r="BZ53" s="66"/>
      <c r="CA53" s="55" t="s">
        <v>107</v>
      </c>
      <c r="CB53" s="67" t="str">
        <f t="array" ref="CB53">IFERROR(INDEX('Resument Total - Ofertas Proyec'!$B:$B,MATCH(CE53,'Resument Total - Ofertas Proyec'!$D:$D,0)),"")</f>
        <v>SDATOOL-51125</v>
      </c>
      <c r="CC53" s="67" t="str">
        <f t="array" ref="CC53">IFERROR(INDEX('Imputación TR - Proyecto-Quince'!$B:$B,MATCH(CE53,'Imputación TR - Proyecto-Quince'!$C:$C,0)),"")</f>
        <v>Migración FX y MM. Apagado Midas - Operaciones</v>
      </c>
      <c r="CD53" s="58"/>
      <c r="CE53" s="24" t="s">
        <v>38</v>
      </c>
      <c r="CF53" s="57" t="str">
        <f t="shared" si="56"/>
        <v/>
      </c>
      <c r="CG53" s="229" t="s">
        <v>83</v>
      </c>
      <c r="CH53" s="230" t="s">
        <v>81</v>
      </c>
      <c r="CI53" s="60" t="str">
        <f t="shared" si="76"/>
        <v>-</v>
      </c>
      <c r="CJ53" s="57">
        <f t="shared" si="77"/>
        <v>100</v>
      </c>
      <c r="CK53" s="80"/>
      <c r="CL53" s="80"/>
      <c r="CM53" s="230">
        <v>10.0</v>
      </c>
      <c r="CN53" s="230">
        <v>10.0</v>
      </c>
      <c r="CO53" s="230">
        <v>10.0</v>
      </c>
      <c r="CP53" s="230">
        <v>10.0</v>
      </c>
      <c r="CQ53" s="230">
        <v>10.0</v>
      </c>
      <c r="CR53" s="231"/>
      <c r="CS53" s="231"/>
      <c r="CT53" s="230">
        <v>10.0</v>
      </c>
      <c r="CU53" s="230">
        <v>10.0</v>
      </c>
      <c r="CV53" s="230">
        <v>10.0</v>
      </c>
      <c r="CW53" s="230">
        <v>10.0</v>
      </c>
      <c r="CX53" s="230">
        <v>10.0</v>
      </c>
      <c r="CY53" s="80"/>
      <c r="CZ53" s="81"/>
      <c r="DA53" s="66"/>
      <c r="DB53" s="55" t="s">
        <v>107</v>
      </c>
      <c r="DC53" s="67" t="str">
        <f t="array" ref="DC53">IFERROR(INDEX('Resument Total - Ofertas Proyec'!$B:$B,MATCH(DF53,'Resument Total - Ofertas Proyec'!$D:$D,0)),"")</f>
        <v>SDATOOL-49742</v>
      </c>
      <c r="DD53" s="67" t="str">
        <f t="array" ref="DD53">IFERROR(INDEX('Imputación TR - Proyecto-Quince'!$B:$B,MATCH(DF53,'Imputación TR - Proyecto-Quince'!$C:$C,0)),"")</f>
        <v>BRS. Fase 2. Colas MQ + Control M</v>
      </c>
      <c r="DE53" s="58"/>
      <c r="DF53" s="24" t="s">
        <v>33</v>
      </c>
      <c r="DG53" s="57" t="str">
        <f t="shared" si="59"/>
        <v>GoldenSource</v>
      </c>
      <c r="DH53" s="69" t="s">
        <v>83</v>
      </c>
      <c r="DI53" s="64" t="s">
        <v>86</v>
      </c>
      <c r="DJ53" s="60" t="str">
        <f t="shared" si="60"/>
        <v>Otras Tecnologías</v>
      </c>
      <c r="DK53" s="57">
        <f t="shared" si="78"/>
        <v>26</v>
      </c>
      <c r="DL53" s="64">
        <v>5.0</v>
      </c>
      <c r="DM53" s="64">
        <v>5.0</v>
      </c>
      <c r="DN53" s="64">
        <v>5.0</v>
      </c>
      <c r="DO53" s="64">
        <v>5.0</v>
      </c>
      <c r="DP53" s="64">
        <v>6.0</v>
      </c>
      <c r="DQ53" s="80"/>
      <c r="DR53" s="80"/>
      <c r="DS53" s="87"/>
      <c r="DT53" s="87"/>
      <c r="DU53" s="87"/>
      <c r="DV53" s="87"/>
      <c r="DW53" s="87"/>
      <c r="DX53" s="82"/>
      <c r="DY53" s="82"/>
      <c r="DZ53" s="87"/>
      <c r="EA53" s="66"/>
      <c r="EB53" s="55" t="s">
        <v>107</v>
      </c>
      <c r="EC53" s="67" t="str">
        <f t="array" ref="EC53">IFERROR(INDEX('Resument Total - Ofertas Proyec'!$B:$B,MATCH(EF53,'Resument Total - Ofertas Proyec'!$D:$D,0)),"")</f>
        <v/>
      </c>
      <c r="ED53" s="67" t="str">
        <f t="array" ref="ED53">IFERROR(INDEX('Imputación TR - Proyecto-Quince'!$B:$B,MATCH(EF53,'Imputación TR - Proyecto-Quince'!$C:$C,0)),"")</f>
        <v/>
      </c>
      <c r="EE53" s="61" t="s">
        <v>64</v>
      </c>
      <c r="EF53" s="184"/>
      <c r="EG53" s="184" t="str">
        <f t="shared" si="90"/>
        <v/>
      </c>
      <c r="EH53" s="144" t="s">
        <v>80</v>
      </c>
      <c r="EI53" s="64" t="s">
        <v>81</v>
      </c>
      <c r="EJ53" s="70" t="str">
        <f t="shared" si="79"/>
        <v>-</v>
      </c>
      <c r="EK53" s="57">
        <f t="shared" si="80"/>
        <v>93</v>
      </c>
      <c r="EL53" s="64">
        <v>9.0</v>
      </c>
      <c r="EM53" s="64">
        <v>9.0</v>
      </c>
      <c r="EN53" s="64">
        <v>9.0</v>
      </c>
      <c r="EO53" s="64">
        <v>6.0</v>
      </c>
      <c r="EP53" s="80"/>
      <c r="EQ53" s="80"/>
      <c r="ER53" s="83">
        <v>9.0</v>
      </c>
      <c r="ES53" s="83">
        <v>9.0</v>
      </c>
      <c r="ET53" s="83">
        <v>9.0</v>
      </c>
      <c r="EU53" s="83">
        <v>9.0</v>
      </c>
      <c r="EV53" s="83">
        <v>6.0</v>
      </c>
      <c r="EW53" s="82"/>
      <c r="EX53" s="82"/>
      <c r="EY53" s="83">
        <v>9.0</v>
      </c>
      <c r="EZ53" s="83">
        <v>9.0</v>
      </c>
    </row>
    <row r="54" ht="18.0" customHeight="1">
      <c r="A54" s="88"/>
      <c r="B54" s="46" t="str">
        <f t="array" ref="B54">IFERROR(INDEX('Imputación TR - Proyecto-Quince'!$A:$A,MATCH(E54,'Imputación TR - Proyecto-Quince'!$C:$C,0)),"")</f>
        <v>SDATOOL-49742</v>
      </c>
      <c r="C54" s="46" t="str">
        <f t="array" ref="C54">IFERROR(INDEX('Imputación TR - Proyecto-Quince'!$B:$B,MATCH(E54,'Imputación TR - Proyecto-Quince'!$C:$C,0)),"")</f>
        <v>BRS. Fase 2. Colas MQ + Control M</v>
      </c>
      <c r="D54" s="72"/>
      <c r="E54" s="24" t="s">
        <v>30</v>
      </c>
      <c r="F54" s="46" t="str">
        <f t="shared" ref="F54:F55" si="93">IF(I54="Otras Tecnologías","GoldenSource","")</f>
        <v/>
      </c>
      <c r="G54" s="76" t="s">
        <v>83</v>
      </c>
      <c r="H54" s="71" t="s">
        <v>81</v>
      </c>
      <c r="I54" s="70" t="str">
        <f t="shared" ref="I54:I55" si="94">IF(OR(H54="Codificación",H54="Pruebas"),"Otras Tecnologías","-")</f>
        <v>-</v>
      </c>
      <c r="J54" s="46">
        <f t="shared" si="69"/>
        <v>30</v>
      </c>
      <c r="K54" s="92"/>
      <c r="L54" s="90"/>
      <c r="M54" s="90"/>
      <c r="N54" s="91"/>
      <c r="O54" s="91"/>
      <c r="P54" s="92"/>
      <c r="Q54" s="92"/>
      <c r="R54" s="92"/>
      <c r="S54" s="92"/>
      <c r="T54" s="92"/>
      <c r="U54" s="91"/>
      <c r="V54" s="91"/>
      <c r="W54" s="89">
        <v>10.0</v>
      </c>
      <c r="X54" s="89">
        <v>10.0</v>
      </c>
      <c r="Y54" s="186">
        <v>10.0</v>
      </c>
      <c r="Z54" s="94"/>
      <c r="AA54" s="88"/>
      <c r="AB54" s="46" t="str">
        <f t="array" ref="AB54">IFERROR(INDEX('Resument Total - Ofertas Proyec'!$B:$B,MATCH(AE54,'Resument Total - Ofertas Proyec'!$D:$D,0)),"")</f>
        <v>SDATOOL-49742</v>
      </c>
      <c r="AC54" s="46" t="str">
        <f t="array" ref="AC54">IFERROR(INDEX('Imputación TR - Proyecto-Quince'!$B:$B,MATCH(AE54,'Imputación TR - Proyecto-Quince'!$C:$C,0)),"")</f>
        <v>BRS. Fase 2. Colas MQ + Control M</v>
      </c>
      <c r="AD54" s="68"/>
      <c r="AE54" s="24" t="s">
        <v>33</v>
      </c>
      <c r="AF54" s="46" t="str">
        <f t="shared" si="70"/>
        <v/>
      </c>
      <c r="AG54" s="46" t="s">
        <v>83</v>
      </c>
      <c r="AH54" s="46" t="s">
        <v>81</v>
      </c>
      <c r="AI54" s="70" t="str">
        <f t="shared" si="71"/>
        <v>-</v>
      </c>
      <c r="AJ54" s="46">
        <f t="shared" si="72"/>
        <v>60</v>
      </c>
      <c r="AK54" s="71">
        <v>5.0</v>
      </c>
      <c r="AL54" s="71">
        <v>5.0</v>
      </c>
      <c r="AM54" s="97"/>
      <c r="AN54" s="97"/>
      <c r="AO54" s="71">
        <v>10.0</v>
      </c>
      <c r="AP54" s="71">
        <v>10.0</v>
      </c>
      <c r="AQ54" s="71">
        <v>10.0</v>
      </c>
      <c r="AR54" s="71">
        <v>10.0</v>
      </c>
      <c r="AS54" s="71">
        <v>10.0</v>
      </c>
      <c r="AT54" s="97"/>
      <c r="AU54" s="97"/>
      <c r="AV54" s="71"/>
      <c r="AW54" s="71"/>
      <c r="AX54" s="71"/>
      <c r="AY54" s="187"/>
      <c r="AZ54" s="94"/>
      <c r="BA54" s="88"/>
      <c r="BB54" s="46" t="str">
        <f t="array" ref="BB54">IFERROR(INDEX('Resument Total - Ofertas Proyec'!$B:$B,MATCH(BE54,'Resument Total - Ofertas Proyec'!$D:$D,0)),"")</f>
        <v>SDATOOL-51827</v>
      </c>
      <c r="BC54" s="46" t="str">
        <f t="array" ref="BC54">IFERROR(INDEX('Imputación TR - Proyecto-Quince'!$B:$B,MATCH(BE54,'Imputación TR - Proyecto-Quince'!$C:$C,0)),"")</f>
        <v>Eventos Corporativos</v>
      </c>
      <c r="BD54" s="68"/>
      <c r="BE54" s="76" t="s">
        <v>51</v>
      </c>
      <c r="BF54" s="46" t="str">
        <f t="shared" si="73"/>
        <v>GoldenSource</v>
      </c>
      <c r="BG54" s="77" t="s">
        <v>83</v>
      </c>
      <c r="BH54" s="71" t="s">
        <v>84</v>
      </c>
      <c r="BI54" s="70" t="str">
        <f t="shared" si="74"/>
        <v>Otras Tecnologías</v>
      </c>
      <c r="BJ54" s="46">
        <f t="shared" si="75"/>
        <v>25</v>
      </c>
      <c r="BK54" s="99"/>
      <c r="BL54" s="99"/>
      <c r="BM54" s="99"/>
      <c r="BN54" s="89">
        <v>5.0</v>
      </c>
      <c r="BO54" s="89">
        <v>5.0</v>
      </c>
      <c r="BP54" s="89">
        <v>5.0</v>
      </c>
      <c r="BQ54" s="89">
        <v>5.0</v>
      </c>
      <c r="BR54" s="89">
        <v>5.0</v>
      </c>
      <c r="BS54" s="99"/>
      <c r="BT54" s="99"/>
      <c r="BU54" s="89"/>
      <c r="BV54" s="89"/>
      <c r="BW54" s="89"/>
      <c r="BX54" s="89"/>
      <c r="BY54" s="89"/>
      <c r="BZ54" s="94"/>
      <c r="CA54" s="88"/>
      <c r="CB54" s="46" t="str">
        <f t="array" ref="CB54">IFERROR(INDEX('Resument Total - Ofertas Proyec'!$B:$B,MATCH(CE54,'Resument Total - Ofertas Proyec'!$D:$D,0)),"")</f>
        <v/>
      </c>
      <c r="CC54" s="46" t="str">
        <f t="array" ref="CC54">IFERROR(INDEX('Imputación TR - Proyecto-Quince'!$B:$B,MATCH(CE54,'Imputación TR - Proyecto-Quince'!$C:$C,0)),"")</f>
        <v/>
      </c>
      <c r="CD54" s="68"/>
      <c r="CE54" s="46"/>
      <c r="CF54" s="46" t="str">
        <f t="shared" si="56"/>
        <v/>
      </c>
      <c r="CG54" s="46" t="s">
        <v>82</v>
      </c>
      <c r="CH54" s="72"/>
      <c r="CI54" s="70" t="str">
        <f t="shared" si="76"/>
        <v>-</v>
      </c>
      <c r="CJ54" s="46">
        <f t="shared" si="77"/>
        <v>0</v>
      </c>
      <c r="CK54" s="99"/>
      <c r="CL54" s="99"/>
      <c r="CM54" s="92"/>
      <c r="CN54" s="92"/>
      <c r="CO54" s="92"/>
      <c r="CP54" s="92"/>
      <c r="CQ54" s="92"/>
      <c r="CR54" s="99"/>
      <c r="CS54" s="99"/>
      <c r="CT54" s="92"/>
      <c r="CU54" s="92"/>
      <c r="CV54" s="92"/>
      <c r="CW54" s="92"/>
      <c r="CX54" s="92"/>
      <c r="CY54" s="99"/>
      <c r="CZ54" s="100"/>
      <c r="DA54" s="94"/>
      <c r="DB54" s="88"/>
      <c r="DC54" s="46" t="str">
        <f t="array" ref="DC54">IFERROR(INDEX('Resument Total - Ofertas Proyec'!$B:$B,MATCH(DF54,'Resument Total - Ofertas Proyec'!$D:$D,0)),"")</f>
        <v/>
      </c>
      <c r="DD54" s="46" t="str">
        <f t="array" ref="DD54">IFERROR(INDEX('Imputación TR - Proyecto-Quince'!$B:$B,MATCH(DF54,'Imputación TR - Proyecto-Quince'!$C:$C,0)),"")</f>
        <v/>
      </c>
      <c r="DE54" s="46" t="s">
        <v>64</v>
      </c>
      <c r="DF54" s="68"/>
      <c r="DG54" s="68" t="str">
        <f t="shared" si="59"/>
        <v/>
      </c>
      <c r="DH54" s="75" t="s">
        <v>80</v>
      </c>
      <c r="DI54" s="78" t="s">
        <v>81</v>
      </c>
      <c r="DJ54" s="70" t="str">
        <f t="shared" si="60"/>
        <v>-</v>
      </c>
      <c r="DK54" s="46">
        <f t="shared" si="78"/>
        <v>67</v>
      </c>
      <c r="DL54" s="89">
        <v>4.0</v>
      </c>
      <c r="DM54" s="89">
        <v>4.0</v>
      </c>
      <c r="DN54" s="89">
        <v>4.0</v>
      </c>
      <c r="DO54" s="89">
        <v>4.0</v>
      </c>
      <c r="DP54" s="92"/>
      <c r="DQ54" s="99"/>
      <c r="DR54" s="99"/>
      <c r="DS54" s="102">
        <v>9.0</v>
      </c>
      <c r="DT54" s="102">
        <v>9.0</v>
      </c>
      <c r="DU54" s="102">
        <v>9.0</v>
      </c>
      <c r="DV54" s="102">
        <v>9.0</v>
      </c>
      <c r="DW54" s="102">
        <v>6.0</v>
      </c>
      <c r="DX54" s="103"/>
      <c r="DY54" s="103"/>
      <c r="DZ54" s="102">
        <v>9.0</v>
      </c>
      <c r="EA54" s="94"/>
      <c r="EB54" s="88"/>
      <c r="EC54" s="46" t="str">
        <f t="array" ref="EC54">IFERROR(INDEX('Resument Total - Ofertas Proyec'!$B:$B,MATCH(EF54,'Resument Total - Ofertas Proyec'!$D:$D,0)),"")</f>
        <v/>
      </c>
      <c r="ED54" s="46" t="str">
        <f t="array" ref="ED54">IFERROR(INDEX('Imputación TR - Proyecto-Quince'!$B:$B,MATCH(EF54,'Imputación TR - Proyecto-Quince'!$C:$C,0)),"")</f>
        <v/>
      </c>
      <c r="EE54" s="68"/>
      <c r="EF54" s="46"/>
      <c r="EG54" s="46" t="str">
        <f t="shared" si="90"/>
        <v/>
      </c>
      <c r="EH54" s="46" t="s">
        <v>82</v>
      </c>
      <c r="EI54" s="72"/>
      <c r="EJ54" s="70" t="str">
        <f t="shared" si="79"/>
        <v>-</v>
      </c>
      <c r="EK54" s="46">
        <f t="shared" si="80"/>
        <v>0</v>
      </c>
      <c r="EL54" s="92"/>
      <c r="EM54" s="92"/>
      <c r="EN54" s="92"/>
      <c r="EO54" s="92"/>
      <c r="EP54" s="99"/>
      <c r="EQ54" s="99"/>
      <c r="ER54" s="101"/>
      <c r="ES54" s="101"/>
      <c r="ET54" s="101"/>
      <c r="EU54" s="101"/>
      <c r="EV54" s="101"/>
      <c r="EW54" s="103"/>
      <c r="EX54" s="103"/>
      <c r="EY54" s="101"/>
      <c r="EZ54" s="101"/>
    </row>
    <row r="55" ht="18.0" customHeight="1">
      <c r="A55" s="107"/>
      <c r="B55" s="190" t="str">
        <f t="array" ref="B55">IFERROR(INDEX('Imputación TR - Proyecto-Quince'!$A:$A,MATCH(E55,'Imputación TR - Proyecto-Quince'!$C:$C,0)),"")</f>
        <v/>
      </c>
      <c r="C55" s="190" t="str">
        <f t="array" ref="C55">IFERROR(INDEX('Imputación TR - Proyecto-Quince'!$B:$B,MATCH(E55,'Imputación TR - Proyecto-Quince'!$C:$C,0)),"")</f>
        <v/>
      </c>
      <c r="D55" s="120"/>
      <c r="E55" s="190"/>
      <c r="F55" s="190" t="str">
        <f t="shared" si="93"/>
        <v/>
      </c>
      <c r="G55" s="190" t="s">
        <v>82</v>
      </c>
      <c r="H55" s="120"/>
      <c r="I55" s="113" t="str">
        <f t="shared" si="94"/>
        <v>-</v>
      </c>
      <c r="J55" s="190">
        <f t="shared" si="69"/>
        <v>0</v>
      </c>
      <c r="K55" s="116"/>
      <c r="L55" s="114"/>
      <c r="M55" s="114"/>
      <c r="N55" s="115"/>
      <c r="O55" s="115"/>
      <c r="P55" s="116"/>
      <c r="Q55" s="116"/>
      <c r="R55" s="116"/>
      <c r="S55" s="116"/>
      <c r="T55" s="116"/>
      <c r="U55" s="115"/>
      <c r="V55" s="115"/>
      <c r="W55" s="116"/>
      <c r="X55" s="116"/>
      <c r="Y55" s="117"/>
      <c r="Z55" s="94"/>
      <c r="AA55" s="107"/>
      <c r="AB55" s="190" t="str">
        <f t="array" ref="AB55">IFERROR(INDEX('Resument Total - Ofertas Proyec'!$B:$B,MATCH(AE55,'Resument Total - Ofertas Proyec'!$D:$D,0)),"")</f>
        <v>SDATOOL-49742</v>
      </c>
      <c r="AC55" s="190" t="str">
        <f t="array" ref="AC55">IFERROR(INDEX('Imputación TR - Proyecto-Quince'!$B:$B,MATCH(AE55,'Imputación TR - Proyecto-Quince'!$C:$C,0)),"")</f>
        <v>BRS. Fase 2. Colas MQ + Control M</v>
      </c>
      <c r="AD55" s="116"/>
      <c r="AE55" s="190" t="s">
        <v>31</v>
      </c>
      <c r="AF55" s="190" t="str">
        <f t="shared" si="70"/>
        <v/>
      </c>
      <c r="AG55" s="190" t="s">
        <v>83</v>
      </c>
      <c r="AH55" s="190" t="s">
        <v>81</v>
      </c>
      <c r="AI55" s="113" t="str">
        <f t="shared" si="71"/>
        <v>-</v>
      </c>
      <c r="AJ55" s="190">
        <f t="shared" si="72"/>
        <v>40</v>
      </c>
      <c r="AK55" s="120"/>
      <c r="AL55" s="120"/>
      <c r="AM55" s="121"/>
      <c r="AN55" s="121"/>
      <c r="AO55" s="112"/>
      <c r="AP55" s="120"/>
      <c r="AQ55" s="120"/>
      <c r="AR55" s="120"/>
      <c r="AS55" s="120"/>
      <c r="AT55" s="121"/>
      <c r="AU55" s="121"/>
      <c r="AV55" s="112">
        <v>10.0</v>
      </c>
      <c r="AW55" s="112">
        <v>10.0</v>
      </c>
      <c r="AX55" s="112">
        <v>10.0</v>
      </c>
      <c r="AY55" s="112">
        <v>10.0</v>
      </c>
      <c r="AZ55" s="94"/>
      <c r="BA55" s="107"/>
      <c r="BB55" s="190" t="str">
        <f t="array" ref="BB55">IFERROR(INDEX('Resument Total - Ofertas Proyec'!$B:$B,MATCH(BE55,'Resument Total - Ofertas Proyec'!$D:$D,0)),"")</f>
        <v>SDATOOL-49742</v>
      </c>
      <c r="BC55" s="190" t="str">
        <f t="array" ref="BC55">IFERROR(INDEX('Imputación TR - Proyecto-Quince'!$B:$B,MATCH(BE55,'Imputación TR - Proyecto-Quince'!$C:$C,0)),"")</f>
        <v>BRS. Fase 2. Colas MQ + Control M</v>
      </c>
      <c r="BD55" s="116"/>
      <c r="BE55" s="24" t="s">
        <v>32</v>
      </c>
      <c r="BF55" s="190" t="str">
        <f t="shared" si="73"/>
        <v/>
      </c>
      <c r="BG55" s="190" t="s">
        <v>82</v>
      </c>
      <c r="BH55" s="120"/>
      <c r="BI55" s="113" t="str">
        <f t="shared" si="74"/>
        <v>-</v>
      </c>
      <c r="BJ55" s="190">
        <f t="shared" si="75"/>
        <v>70</v>
      </c>
      <c r="BK55" s="123"/>
      <c r="BL55" s="123"/>
      <c r="BM55" s="123"/>
      <c r="BN55" s="116"/>
      <c r="BO55" s="110">
        <v>5.0</v>
      </c>
      <c r="BP55" s="110">
        <v>5.0</v>
      </c>
      <c r="BQ55" s="110">
        <v>5.0</v>
      </c>
      <c r="BR55" s="110">
        <v>5.0</v>
      </c>
      <c r="BS55" s="123"/>
      <c r="BT55" s="123"/>
      <c r="BU55" s="110">
        <v>10.0</v>
      </c>
      <c r="BV55" s="110">
        <v>10.0</v>
      </c>
      <c r="BW55" s="110">
        <v>10.0</v>
      </c>
      <c r="BX55" s="110">
        <v>10.0</v>
      </c>
      <c r="BY55" s="110">
        <v>10.0</v>
      </c>
      <c r="BZ55" s="94"/>
      <c r="CA55" s="107"/>
      <c r="CB55" s="190" t="str">
        <f t="array" ref="CB55">IFERROR(INDEX('Resument Total - Ofertas Proyec'!$B:$B,MATCH(CE55,'Resument Total - Ofertas Proyec'!$D:$D,0)),"")</f>
        <v/>
      </c>
      <c r="CC55" s="190" t="str">
        <f t="array" ref="CC55">IFERROR(INDEX('Imputación TR - Proyecto-Quince'!$B:$B,MATCH(CE55,'Imputación TR - Proyecto-Quince'!$C:$C,0)),"")</f>
        <v/>
      </c>
      <c r="CD55" s="116"/>
      <c r="CE55" s="190"/>
      <c r="CF55" s="190" t="str">
        <f t="shared" si="56"/>
        <v/>
      </c>
      <c r="CG55" s="190" t="s">
        <v>82</v>
      </c>
      <c r="CH55" s="120"/>
      <c r="CI55" s="113" t="str">
        <f t="shared" si="76"/>
        <v>-</v>
      </c>
      <c r="CJ55" s="190">
        <f t="shared" si="77"/>
        <v>0</v>
      </c>
      <c r="CK55" s="123"/>
      <c r="CL55" s="123"/>
      <c r="CM55" s="116"/>
      <c r="CN55" s="116"/>
      <c r="CO55" s="116"/>
      <c r="CP55" s="116"/>
      <c r="CQ55" s="116"/>
      <c r="CR55" s="123"/>
      <c r="CS55" s="123"/>
      <c r="CT55" s="116"/>
      <c r="CU55" s="116"/>
      <c r="CV55" s="116"/>
      <c r="CW55" s="116"/>
      <c r="CX55" s="116"/>
      <c r="CY55" s="123"/>
      <c r="CZ55" s="124"/>
      <c r="DA55" s="94"/>
      <c r="DB55" s="107"/>
      <c r="DC55" s="190" t="str">
        <f t="array" ref="DC55">IFERROR(INDEX('Resument Total - Ofertas Proyec'!$B:$B,MATCH(DF55,'Resument Total - Ofertas Proyec'!$D:$D,0)),"")</f>
        <v/>
      </c>
      <c r="DD55" s="190" t="str">
        <f t="array" ref="DD55">IFERROR(INDEX('Imputación TR - Proyecto-Quince'!$B:$B,MATCH(DF55,'Imputación TR - Proyecto-Quince'!$C:$C,0)),"")</f>
        <v/>
      </c>
      <c r="DE55" s="116"/>
      <c r="DF55" s="190"/>
      <c r="DG55" s="190" t="str">
        <f t="shared" si="59"/>
        <v/>
      </c>
      <c r="DH55" s="190" t="s">
        <v>82</v>
      </c>
      <c r="DI55" s="120"/>
      <c r="DJ55" s="113" t="str">
        <f t="shared" si="60"/>
        <v>-</v>
      </c>
      <c r="DK55" s="190">
        <f t="shared" si="78"/>
        <v>0</v>
      </c>
      <c r="DL55" s="116"/>
      <c r="DM55" s="116"/>
      <c r="DN55" s="116"/>
      <c r="DO55" s="116"/>
      <c r="DP55" s="116"/>
      <c r="DQ55" s="123"/>
      <c r="DR55" s="123"/>
      <c r="DS55" s="125"/>
      <c r="DT55" s="125"/>
      <c r="DU55" s="125"/>
      <c r="DV55" s="125"/>
      <c r="DW55" s="125"/>
      <c r="DX55" s="126"/>
      <c r="DY55" s="126"/>
      <c r="DZ55" s="125"/>
      <c r="EA55" s="94"/>
      <c r="EB55" s="107"/>
      <c r="EC55" s="190" t="str">
        <f t="array" ref="EC55">IFERROR(INDEX('Resument Total - Ofertas Proyec'!$B:$B,MATCH(EF55,'Resument Total - Ofertas Proyec'!$D:$D,0)),"")</f>
        <v/>
      </c>
      <c r="ED55" s="190" t="str">
        <f t="array" ref="ED55">IFERROR(INDEX('Imputación TR - Proyecto-Quince'!$B:$B,MATCH(EF55,'Imputación TR - Proyecto-Quince'!$C:$C,0)),"")</f>
        <v/>
      </c>
      <c r="EE55" s="116"/>
      <c r="EF55" s="190"/>
      <c r="EG55" s="190" t="str">
        <f t="shared" si="90"/>
        <v/>
      </c>
      <c r="EH55" s="190" t="s">
        <v>82</v>
      </c>
      <c r="EI55" s="120"/>
      <c r="EJ55" s="113" t="str">
        <f t="shared" si="79"/>
        <v>-</v>
      </c>
      <c r="EK55" s="190">
        <f t="shared" si="80"/>
        <v>0</v>
      </c>
      <c r="EL55" s="116"/>
      <c r="EM55" s="116"/>
      <c r="EN55" s="116"/>
      <c r="EO55" s="116"/>
      <c r="EP55" s="123"/>
      <c r="EQ55" s="123"/>
      <c r="ER55" s="125"/>
      <c r="ES55" s="125"/>
      <c r="ET55" s="125"/>
      <c r="EU55" s="125"/>
      <c r="EV55" s="125"/>
      <c r="EW55" s="126"/>
      <c r="EX55" s="126"/>
      <c r="EY55" s="125"/>
      <c r="EZ55" s="125"/>
    </row>
    <row r="56" ht="18.0" customHeight="1">
      <c r="A56" s="55" t="s">
        <v>108</v>
      </c>
      <c r="B56" s="56" t="str">
        <f t="array" ref="B56">IFERROR(INDEX('Imputación TR - Proyecto-Quince'!$A:$A,MATCH(E56,'Imputación TR - Proyecto-Quince'!$C:$C,0)),"")</f>
        <v/>
      </c>
      <c r="C56" s="56"/>
      <c r="D56" s="57" t="s">
        <v>64</v>
      </c>
      <c r="E56" s="58"/>
      <c r="F56" s="58"/>
      <c r="G56" s="57" t="s">
        <v>80</v>
      </c>
      <c r="H56" s="59" t="s">
        <v>81</v>
      </c>
      <c r="I56" s="60" t="s">
        <v>82</v>
      </c>
      <c r="J56" s="57">
        <f t="shared" si="69"/>
        <v>60</v>
      </c>
      <c r="K56" s="61">
        <v>9.0</v>
      </c>
      <c r="L56" s="62">
        <v>9.0</v>
      </c>
      <c r="M56" s="62"/>
      <c r="N56" s="63"/>
      <c r="O56" s="63"/>
      <c r="P56" s="64">
        <v>9.0</v>
      </c>
      <c r="Q56" s="64">
        <v>9.0</v>
      </c>
      <c r="R56" s="64">
        <v>9.0</v>
      </c>
      <c r="S56" s="64">
        <v>9.0</v>
      </c>
      <c r="T56" s="64">
        <v>6.0</v>
      </c>
      <c r="U56" s="63"/>
      <c r="V56" s="63"/>
      <c r="W56" s="64"/>
      <c r="X56" s="64"/>
      <c r="Y56" s="65"/>
      <c r="Z56" s="66"/>
      <c r="AA56" s="55" t="s">
        <v>108</v>
      </c>
      <c r="AB56" s="67" t="str">
        <f t="array" ref="AB56">IFERROR(INDEX('Resument Total - Ofertas Proyec'!$B:$B,MATCH(AE56,'Resument Total - Ofertas Proyec'!$D:$D,0)),"")</f>
        <v>SDATOOL-46848</v>
      </c>
      <c r="AC56" s="67" t="str">
        <f t="array" ref="AC56">IFERROR(INDEX('Imputación TR - Proyecto-Quince'!$B:$B,MATCH(AE56,'Imputación TR - Proyecto-Quince'!$C:$C,0)),"")</f>
        <v>Institutional Clients. Onboarding.</v>
      </c>
      <c r="AD56" s="232"/>
      <c r="AE56" s="24" t="s">
        <v>27</v>
      </c>
      <c r="AF56" s="143" t="str">
        <f t="shared" si="70"/>
        <v/>
      </c>
      <c r="AG56" s="69" t="s">
        <v>83</v>
      </c>
      <c r="AH56" s="64" t="s">
        <v>81</v>
      </c>
      <c r="AI56" s="60" t="str">
        <f t="shared" si="71"/>
        <v>-</v>
      </c>
      <c r="AJ56" s="143">
        <f t="shared" si="72"/>
        <v>165</v>
      </c>
      <c r="AK56" s="64">
        <v>15.0</v>
      </c>
      <c r="AL56" s="64">
        <v>15.0</v>
      </c>
      <c r="AM56" s="80"/>
      <c r="AN56" s="80"/>
      <c r="AO56" s="64">
        <v>15.0</v>
      </c>
      <c r="AP56" s="64">
        <v>15.0</v>
      </c>
      <c r="AQ56" s="64">
        <v>15.0</v>
      </c>
      <c r="AR56" s="64">
        <v>15.0</v>
      </c>
      <c r="AS56" s="64">
        <v>15.0</v>
      </c>
      <c r="AT56" s="80"/>
      <c r="AU56" s="80"/>
      <c r="AV56" s="64">
        <v>15.0</v>
      </c>
      <c r="AW56" s="64">
        <v>15.0</v>
      </c>
      <c r="AX56" s="64">
        <v>15.0</v>
      </c>
      <c r="AY56" s="64">
        <v>15.0</v>
      </c>
      <c r="AZ56" s="66"/>
      <c r="BA56" s="55" t="s">
        <v>108</v>
      </c>
      <c r="BB56" s="67" t="str">
        <f t="array" ref="BB56">IFERROR(INDEX('Resument Total - Ofertas Proyec'!$B:$B,MATCH(BE56,'Resument Total - Ofertas Proyec'!$D:$D,0)),"")</f>
        <v>SDATOOL-46848</v>
      </c>
      <c r="BC56" s="67" t="str">
        <f t="array" ref="BC56">IFERROR(INDEX('Imputación TR - Proyecto-Quince'!$B:$B,MATCH(BE56,'Imputación TR - Proyecto-Quince'!$C:$C,0)),"")</f>
        <v>Institutional Clients. Onboarding.</v>
      </c>
      <c r="BD56" s="232"/>
      <c r="BE56" s="24" t="s">
        <v>27</v>
      </c>
      <c r="BF56" s="143" t="str">
        <f t="shared" si="73"/>
        <v>GoldenSource</v>
      </c>
      <c r="BG56" s="77" t="s">
        <v>83</v>
      </c>
      <c r="BH56" s="64" t="s">
        <v>84</v>
      </c>
      <c r="BI56" s="60" t="str">
        <f t="shared" si="74"/>
        <v>Otras Tecnologías</v>
      </c>
      <c r="BJ56" s="143">
        <f t="shared" si="75"/>
        <v>100</v>
      </c>
      <c r="BK56" s="80"/>
      <c r="BL56" s="80"/>
      <c r="BM56" s="80"/>
      <c r="BN56" s="64">
        <v>10.0</v>
      </c>
      <c r="BO56" s="64">
        <v>10.0</v>
      </c>
      <c r="BP56" s="64">
        <v>10.0</v>
      </c>
      <c r="BQ56" s="64">
        <v>10.0</v>
      </c>
      <c r="BR56" s="64">
        <v>10.0</v>
      </c>
      <c r="BS56" s="80"/>
      <c r="BT56" s="80"/>
      <c r="BU56" s="64">
        <v>10.0</v>
      </c>
      <c r="BV56" s="64">
        <v>10.0</v>
      </c>
      <c r="BW56" s="64">
        <v>10.0</v>
      </c>
      <c r="BX56" s="64">
        <v>10.0</v>
      </c>
      <c r="BY56" s="64">
        <v>10.0</v>
      </c>
      <c r="BZ56" s="66"/>
      <c r="CA56" s="55" t="s">
        <v>108</v>
      </c>
      <c r="CB56" s="67" t="str">
        <f t="array" ref="CB56">IFERROR(INDEX('Resument Total - Ofertas Proyec'!$B:$B,MATCH(CE56,'Resument Total - Ofertas Proyec'!$D:$D,0)),"")</f>
        <v>SDATOOL-46848</v>
      </c>
      <c r="CC56" s="67" t="str">
        <f t="array" ref="CC56">IFERROR(INDEX('Imputación TR - Proyecto-Quince'!$B:$B,MATCH(CE56,'Imputación TR - Proyecto-Quince'!$C:$C,0)),"")</f>
        <v>Institutional Clients. Onboarding.</v>
      </c>
      <c r="CD56" s="232"/>
      <c r="CE56" s="24" t="s">
        <v>27</v>
      </c>
      <c r="CF56" s="143" t="str">
        <f t="shared" si="56"/>
        <v>GoldenSource</v>
      </c>
      <c r="CG56" s="76" t="s">
        <v>83</v>
      </c>
      <c r="CH56" s="64" t="s">
        <v>86</v>
      </c>
      <c r="CI56" s="60" t="str">
        <f t="shared" si="76"/>
        <v>Otras Tecnologías</v>
      </c>
      <c r="CJ56" s="143">
        <f t="shared" si="77"/>
        <v>150</v>
      </c>
      <c r="CK56" s="80"/>
      <c r="CL56" s="80"/>
      <c r="CM56" s="64">
        <v>15.0</v>
      </c>
      <c r="CN56" s="64">
        <v>15.0</v>
      </c>
      <c r="CO56" s="64">
        <v>15.0</v>
      </c>
      <c r="CP56" s="64">
        <v>15.0</v>
      </c>
      <c r="CQ56" s="64">
        <v>15.0</v>
      </c>
      <c r="CR56" s="80"/>
      <c r="CS56" s="80"/>
      <c r="CT56" s="64">
        <v>15.0</v>
      </c>
      <c r="CU56" s="64">
        <v>15.0</v>
      </c>
      <c r="CV56" s="64">
        <v>15.0</v>
      </c>
      <c r="CW56" s="64">
        <v>15.0</v>
      </c>
      <c r="CX56" s="64">
        <v>15.0</v>
      </c>
      <c r="CY56" s="80"/>
      <c r="CZ56" s="81"/>
      <c r="DA56" s="66"/>
      <c r="DB56" s="55" t="s">
        <v>108</v>
      </c>
      <c r="DC56" s="67" t="str">
        <f t="array" ref="DC56">IFERROR(INDEX('Resument Total - Ofertas Proyec'!$B:$B,MATCH(DF56,'Resument Total - Ofertas Proyec'!$D:$D,0)),"")</f>
        <v>SDATOOL-46848</v>
      </c>
      <c r="DD56" s="67" t="str">
        <f t="array" ref="DD56">IFERROR(INDEX('Imputación TR - Proyecto-Quince'!$B:$B,MATCH(DF56,'Imputación TR - Proyecto-Quince'!$C:$C,0)),"")</f>
        <v>Institutional Clients. Onboarding.</v>
      </c>
      <c r="DE56" s="232"/>
      <c r="DF56" s="24" t="s">
        <v>27</v>
      </c>
      <c r="DG56" s="75" t="str">
        <f t="shared" si="59"/>
        <v>GoldenSource</v>
      </c>
      <c r="DH56" s="77" t="s">
        <v>83</v>
      </c>
      <c r="DI56" s="135" t="s">
        <v>86</v>
      </c>
      <c r="DJ56" s="60" t="str">
        <f t="shared" si="60"/>
        <v>Otras Tecnologías</v>
      </c>
      <c r="DK56" s="143">
        <f t="shared" si="78"/>
        <v>75</v>
      </c>
      <c r="DL56" s="64">
        <v>15.0</v>
      </c>
      <c r="DM56" s="64">
        <v>15.0</v>
      </c>
      <c r="DN56" s="64">
        <v>15.0</v>
      </c>
      <c r="DO56" s="64">
        <v>15.0</v>
      </c>
      <c r="DP56" s="64">
        <v>15.0</v>
      </c>
      <c r="DQ56" s="80"/>
      <c r="DR56" s="80"/>
      <c r="DS56" s="87"/>
      <c r="DT56" s="87"/>
      <c r="DU56" s="87"/>
      <c r="DV56" s="87"/>
      <c r="DW56" s="87"/>
      <c r="DX56" s="82"/>
      <c r="DY56" s="82"/>
      <c r="DZ56" s="87"/>
      <c r="EA56" s="66"/>
      <c r="EB56" s="55" t="s">
        <v>108</v>
      </c>
      <c r="EC56" s="67" t="str">
        <f t="array" ref="EC56">IFERROR(INDEX('Resument Total - Ofertas Proyec'!$B:$B,MATCH(EF56,'Resument Total - Ofertas Proyec'!$D:$D,0)),"")</f>
        <v/>
      </c>
      <c r="ED56" s="67" t="str">
        <f t="array" ref="ED56">IFERROR(INDEX('Imputación TR - Proyecto-Quince'!$B:$B,MATCH(EF56,'Imputación TR - Proyecto-Quince'!$C:$C,0)),"")</f>
        <v/>
      </c>
      <c r="EE56" s="61" t="s">
        <v>64</v>
      </c>
      <c r="EF56" s="184"/>
      <c r="EG56" s="184" t="str">
        <f t="shared" si="90"/>
        <v/>
      </c>
      <c r="EH56" s="144" t="s">
        <v>80</v>
      </c>
      <c r="EI56" s="64" t="s">
        <v>81</v>
      </c>
      <c r="EJ56" s="70" t="str">
        <f t="shared" si="79"/>
        <v>-</v>
      </c>
      <c r="EK56" s="57">
        <f t="shared" si="80"/>
        <v>93</v>
      </c>
      <c r="EL56" s="64">
        <v>9.0</v>
      </c>
      <c r="EM56" s="64">
        <v>9.0</v>
      </c>
      <c r="EN56" s="64">
        <v>9.0</v>
      </c>
      <c r="EO56" s="64">
        <v>6.0</v>
      </c>
      <c r="EP56" s="80"/>
      <c r="EQ56" s="80"/>
      <c r="ER56" s="83">
        <v>9.0</v>
      </c>
      <c r="ES56" s="83">
        <v>9.0</v>
      </c>
      <c r="ET56" s="83">
        <v>9.0</v>
      </c>
      <c r="EU56" s="83">
        <v>9.0</v>
      </c>
      <c r="EV56" s="83">
        <v>6.0</v>
      </c>
      <c r="EW56" s="82"/>
      <c r="EX56" s="82"/>
      <c r="EY56" s="83">
        <v>9.0</v>
      </c>
      <c r="EZ56" s="83">
        <v>9.0</v>
      </c>
    </row>
    <row r="57" ht="18.0" customHeight="1">
      <c r="A57" s="88"/>
      <c r="B57" s="143" t="str">
        <f t="array" ref="B57">IFERROR(INDEX('Imputación TR - Proyecto-Quince'!$A:$A,MATCH(E57,'Imputación TR - Proyecto-Quince'!$C:$C,0)),"")</f>
        <v>SDATOOL-46848</v>
      </c>
      <c r="C57" s="143" t="str">
        <f t="array" ref="C57">IFERROR(INDEX('Imputación TR - Proyecto-Quince'!$B:$B,MATCH(E57,'Imputación TR - Proyecto-Quince'!$C:$C,0)),"")</f>
        <v>Institutional Clients. Onboarding.</v>
      </c>
      <c r="D57" s="72"/>
      <c r="E57" s="76" t="s">
        <v>27</v>
      </c>
      <c r="F57" s="46" t="str">
        <f t="shared" ref="F57:F58" si="95">IF(I57="Otras Tecnologías","GoldenSource","")</f>
        <v/>
      </c>
      <c r="G57" s="76" t="s">
        <v>83</v>
      </c>
      <c r="H57" s="71" t="s">
        <v>81</v>
      </c>
      <c r="I57" s="70" t="str">
        <f t="shared" ref="I57:I58" si="96">IF(OR(H57="Codificación",H57="Pruebas"),"Otras Tecnologías","-")</f>
        <v>-</v>
      </c>
      <c r="J57" s="46">
        <f t="shared" si="69"/>
        <v>45</v>
      </c>
      <c r="K57" s="92"/>
      <c r="L57" s="90"/>
      <c r="M57" s="90"/>
      <c r="N57" s="91"/>
      <c r="O57" s="91"/>
      <c r="P57" s="92"/>
      <c r="Q57" s="92"/>
      <c r="R57" s="92"/>
      <c r="S57" s="92"/>
      <c r="T57" s="92"/>
      <c r="U57" s="91"/>
      <c r="V57" s="91"/>
      <c r="W57" s="89">
        <v>15.0</v>
      </c>
      <c r="X57" s="89">
        <v>15.0</v>
      </c>
      <c r="Y57" s="186">
        <v>15.0</v>
      </c>
      <c r="Z57" s="94"/>
      <c r="AA57" s="88"/>
      <c r="AB57" s="143" t="str">
        <f t="array" ref="AB57">IFERROR(INDEX('Resument Total - Ofertas Proyec'!$B:$B,MATCH(AE57,'Resument Total - Ofertas Proyec'!$D:$D,0)),"")</f>
        <v/>
      </c>
      <c r="AC57" s="143" t="str">
        <f t="array" ref="AC57">IFERROR(INDEX('Imputación TR - Proyecto-Quince'!$B:$B,MATCH(AE57,'Imputación TR - Proyecto-Quince'!$C:$C,0)),"")</f>
        <v/>
      </c>
      <c r="AD57" s="68"/>
      <c r="AE57" s="46"/>
      <c r="AF57" s="46" t="str">
        <f t="shared" si="70"/>
        <v/>
      </c>
      <c r="AG57" s="46" t="s">
        <v>82</v>
      </c>
      <c r="AH57" s="72"/>
      <c r="AI57" s="70" t="str">
        <f t="shared" si="71"/>
        <v>-</v>
      </c>
      <c r="AJ57" s="46">
        <f t="shared" si="72"/>
        <v>0</v>
      </c>
      <c r="AK57" s="98"/>
      <c r="AL57" s="98"/>
      <c r="AM57" s="97"/>
      <c r="AN57" s="97"/>
      <c r="AO57" s="98"/>
      <c r="AP57" s="98"/>
      <c r="AQ57" s="98"/>
      <c r="AR57" s="98"/>
      <c r="AS57" s="98"/>
      <c r="AT57" s="97"/>
      <c r="AU57" s="97"/>
      <c r="AV57" s="98"/>
      <c r="AW57" s="98"/>
      <c r="AX57" s="98"/>
      <c r="AY57" s="137"/>
      <c r="AZ57" s="94"/>
      <c r="BA57" s="88"/>
      <c r="BB57" s="143" t="str">
        <f t="array" ref="BB57">IFERROR(INDEX('Resument Total - Ofertas Proyec'!$B:$B,MATCH(BE57,'Resument Total - Ofertas Proyec'!$D:$D,0)),"")</f>
        <v>SDATOOL-54626</v>
      </c>
      <c r="BC57" s="143" t="str">
        <f t="array" ref="BC57">IFERROR(INDEX('Imputación TR - Proyecto-Quince'!$B:$B,MATCH(BE57,'Imputación TR - Proyecto-Quince'!$C:$C,0)),"")</f>
        <v>Institutional Clients Transversal Tools Plan (eClients)</v>
      </c>
      <c r="BD57" s="68"/>
      <c r="BE57" s="24" t="s">
        <v>18</v>
      </c>
      <c r="BF57" s="46" t="str">
        <f t="shared" si="73"/>
        <v>GoldenSource</v>
      </c>
      <c r="BG57" s="77" t="s">
        <v>83</v>
      </c>
      <c r="BH57" s="71" t="s">
        <v>86</v>
      </c>
      <c r="BI57" s="70" t="str">
        <f t="shared" si="74"/>
        <v>Otras Tecnologías</v>
      </c>
      <c r="BJ57" s="46">
        <f t="shared" si="75"/>
        <v>50</v>
      </c>
      <c r="BK57" s="99"/>
      <c r="BL57" s="99"/>
      <c r="BM57" s="99"/>
      <c r="BN57" s="89">
        <v>5.0</v>
      </c>
      <c r="BO57" s="89">
        <v>5.0</v>
      </c>
      <c r="BP57" s="89">
        <v>5.0</v>
      </c>
      <c r="BQ57" s="89">
        <v>5.0</v>
      </c>
      <c r="BR57" s="89">
        <v>5.0</v>
      </c>
      <c r="BS57" s="99"/>
      <c r="BT57" s="99"/>
      <c r="BU57" s="89">
        <v>5.0</v>
      </c>
      <c r="BV57" s="89">
        <v>5.0</v>
      </c>
      <c r="BW57" s="89">
        <v>5.0</v>
      </c>
      <c r="BX57" s="89">
        <v>5.0</v>
      </c>
      <c r="BY57" s="89">
        <v>5.0</v>
      </c>
      <c r="BZ57" s="94"/>
      <c r="CA57" s="88"/>
      <c r="CB57" s="143" t="str">
        <f t="array" ref="CB57">IFERROR(INDEX('Resument Total - Ofertas Proyec'!$B:$B,MATCH(CE57,'Resument Total - Ofertas Proyec'!$D:$D,0)),"")</f>
        <v/>
      </c>
      <c r="CC57" s="143" t="str">
        <f t="array" ref="CC57">IFERROR(INDEX('Imputación TR - Proyecto-Quince'!$B:$B,MATCH(CE57,'Imputación TR - Proyecto-Quince'!$C:$C,0)),"")</f>
        <v/>
      </c>
      <c r="CD57" s="68"/>
      <c r="CE57" s="46"/>
      <c r="CF57" s="46" t="str">
        <f t="shared" si="56"/>
        <v/>
      </c>
      <c r="CG57" s="46" t="s">
        <v>82</v>
      </c>
      <c r="CH57" s="72"/>
      <c r="CI57" s="70" t="str">
        <f t="shared" si="76"/>
        <v>-</v>
      </c>
      <c r="CJ57" s="46">
        <f t="shared" si="77"/>
        <v>0</v>
      </c>
      <c r="CK57" s="99"/>
      <c r="CL57" s="99"/>
      <c r="CM57" s="92"/>
      <c r="CN57" s="92"/>
      <c r="CO57" s="92"/>
      <c r="CP57" s="92"/>
      <c r="CQ57" s="92"/>
      <c r="CR57" s="99"/>
      <c r="CS57" s="99"/>
      <c r="CT57" s="92"/>
      <c r="CU57" s="92"/>
      <c r="CV57" s="92"/>
      <c r="CW57" s="92"/>
      <c r="CX57" s="92"/>
      <c r="CY57" s="99"/>
      <c r="CZ57" s="100"/>
      <c r="DA57" s="94"/>
      <c r="DB57" s="88"/>
      <c r="DC57" s="143" t="str">
        <f t="array" ref="DC57">IFERROR(INDEX('Resument Total - Ofertas Proyec'!$B:$B,MATCH(DF57,'Resument Total - Ofertas Proyec'!$D:$D,0)),"")</f>
        <v/>
      </c>
      <c r="DD57" s="143" t="str">
        <f t="array" ref="DD57">IFERROR(INDEX('Imputación TR - Proyecto-Quince'!$B:$B,MATCH(DF57,'Imputación TR - Proyecto-Quince'!$C:$C,0)),"")</f>
        <v/>
      </c>
      <c r="DE57" s="46" t="s">
        <v>64</v>
      </c>
      <c r="DF57" s="68"/>
      <c r="DG57" s="68" t="str">
        <f t="shared" si="59"/>
        <v/>
      </c>
      <c r="DH57" s="75" t="s">
        <v>80</v>
      </c>
      <c r="DI57" s="78" t="s">
        <v>81</v>
      </c>
      <c r="DJ57" s="70" t="str">
        <f t="shared" si="60"/>
        <v>-</v>
      </c>
      <c r="DK57" s="72">
        <f t="shared" si="78"/>
        <v>51</v>
      </c>
      <c r="DL57" s="92"/>
      <c r="DM57" s="92"/>
      <c r="DN57" s="92"/>
      <c r="DO57" s="92"/>
      <c r="DP57" s="92"/>
      <c r="DQ57" s="99"/>
      <c r="DR57" s="99"/>
      <c r="DS57" s="102">
        <v>9.0</v>
      </c>
      <c r="DT57" s="102">
        <v>9.0</v>
      </c>
      <c r="DU57" s="102">
        <v>9.0</v>
      </c>
      <c r="DV57" s="102">
        <v>9.0</v>
      </c>
      <c r="DW57" s="102">
        <v>6.0</v>
      </c>
      <c r="DX57" s="103"/>
      <c r="DY57" s="103"/>
      <c r="DZ57" s="102">
        <v>9.0</v>
      </c>
      <c r="EA57" s="94"/>
      <c r="EB57" s="88"/>
      <c r="EC57" s="143" t="str">
        <f t="array" ref="EC57">IFERROR(INDEX('Resument Total - Ofertas Proyec'!$B:$B,MATCH(EF57,'Resument Total - Ofertas Proyec'!$D:$D,0)),"")</f>
        <v/>
      </c>
      <c r="ED57" s="143" t="str">
        <f t="array" ref="ED57">IFERROR(INDEX('Imputación TR - Proyecto-Quince'!$B:$B,MATCH(EF57,'Imputación TR - Proyecto-Quince'!$C:$C,0)),"")</f>
        <v/>
      </c>
      <c r="EE57" s="68"/>
      <c r="EF57" s="46"/>
      <c r="EG57" s="46" t="str">
        <f t="shared" si="90"/>
        <v/>
      </c>
      <c r="EH57" s="46" t="s">
        <v>82</v>
      </c>
      <c r="EI57" s="72"/>
      <c r="EJ57" s="70" t="str">
        <f t="shared" si="79"/>
        <v>-</v>
      </c>
      <c r="EK57" s="46">
        <f t="shared" si="80"/>
        <v>0</v>
      </c>
      <c r="EL57" s="92"/>
      <c r="EM57" s="92"/>
      <c r="EN57" s="92"/>
      <c r="EO57" s="92"/>
      <c r="EP57" s="99"/>
      <c r="EQ57" s="99"/>
      <c r="ER57" s="101"/>
      <c r="ES57" s="101"/>
      <c r="ET57" s="101"/>
      <c r="EU57" s="101"/>
      <c r="EV57" s="101"/>
      <c r="EW57" s="103"/>
      <c r="EX57" s="103"/>
      <c r="EY57" s="101"/>
      <c r="EZ57" s="101"/>
    </row>
    <row r="58" ht="18.0" customHeight="1">
      <c r="A58" s="107"/>
      <c r="B58" s="120" t="str">
        <f t="array" ref="B58">IFERROR(INDEX('Imputación TR - Proyecto-Quince'!$A:$A,MATCH(E58,'Imputación TR - Proyecto-Quince'!$C:$C,0)),"")</f>
        <v/>
      </c>
      <c r="C58" s="120" t="str">
        <f t="array" ref="C58">IFERROR(INDEX('Imputación TR - Proyecto-Quince'!$B:$B,MATCH(E58,'Imputación TR - Proyecto-Quince'!$C:$C,0)),"")</f>
        <v/>
      </c>
      <c r="D58" s="120"/>
      <c r="E58" s="116"/>
      <c r="F58" s="116" t="str">
        <f t="shared" si="95"/>
        <v/>
      </c>
      <c r="G58" s="120" t="s">
        <v>82</v>
      </c>
      <c r="H58" s="116"/>
      <c r="I58" s="113" t="str">
        <f t="shared" si="96"/>
        <v>-</v>
      </c>
      <c r="J58" s="120">
        <f t="shared" si="69"/>
        <v>0</v>
      </c>
      <c r="K58" s="116"/>
      <c r="L58" s="114"/>
      <c r="M58" s="114"/>
      <c r="N58" s="115"/>
      <c r="O58" s="115"/>
      <c r="P58" s="116"/>
      <c r="Q58" s="116"/>
      <c r="R58" s="116"/>
      <c r="S58" s="116"/>
      <c r="T58" s="116"/>
      <c r="U58" s="115"/>
      <c r="V58" s="115"/>
      <c r="W58" s="116"/>
      <c r="X58" s="116"/>
      <c r="Y58" s="117"/>
      <c r="Z58" s="94"/>
      <c r="AA58" s="107"/>
      <c r="AB58" s="116" t="str">
        <f t="array" ref="AB58">IFERROR(INDEX('Resument Total - Ofertas Proyec'!$B:$B,MATCH(AE58,'Resument Total - Ofertas Proyec'!$D:$D,0)),"")</f>
        <v/>
      </c>
      <c r="AC58" s="116" t="str">
        <f t="array" ref="AC58">IFERROR(INDEX('Imputación TR - Proyecto-Quince'!$B:$B,MATCH(AE58,'Imputación TR - Proyecto-Quince'!$C:$C,0)),"")</f>
        <v/>
      </c>
      <c r="AD58" s="116"/>
      <c r="AE58" s="116"/>
      <c r="AF58" s="116" t="str">
        <f t="shared" si="70"/>
        <v/>
      </c>
      <c r="AG58" s="120" t="s">
        <v>82</v>
      </c>
      <c r="AH58" s="116"/>
      <c r="AI58" s="113" t="str">
        <f t="shared" si="71"/>
        <v>-</v>
      </c>
      <c r="AJ58" s="120">
        <f t="shared" si="72"/>
        <v>0</v>
      </c>
      <c r="AK58" s="120"/>
      <c r="AL58" s="120"/>
      <c r="AM58" s="121"/>
      <c r="AN58" s="121"/>
      <c r="AO58" s="120"/>
      <c r="AP58" s="120"/>
      <c r="AQ58" s="120"/>
      <c r="AR58" s="120"/>
      <c r="AS58" s="120"/>
      <c r="AT58" s="121"/>
      <c r="AU58" s="121"/>
      <c r="AV58" s="120"/>
      <c r="AW58" s="120"/>
      <c r="AX58" s="120"/>
      <c r="AY58" s="142"/>
      <c r="AZ58" s="94"/>
      <c r="BA58" s="107"/>
      <c r="BB58" s="116" t="str">
        <f t="array" ref="BB58">IFERROR(INDEX('Resument Total - Ofertas Proyec'!$B:$B,MATCH(BE58,'Resument Total - Ofertas Proyec'!$D:$D,0)),"")</f>
        <v/>
      </c>
      <c r="BC58" s="116" t="str">
        <f t="array" ref="BC58">IFERROR(INDEX('Imputación TR - Proyecto-Quince'!$B:$B,MATCH(BE58,'Imputación TR - Proyecto-Quince'!$C:$C,0)),"")</f>
        <v/>
      </c>
      <c r="BD58" s="116"/>
      <c r="BE58" s="116"/>
      <c r="BF58" s="116" t="str">
        <f t="shared" si="73"/>
        <v/>
      </c>
      <c r="BG58" s="120" t="s">
        <v>82</v>
      </c>
      <c r="BH58" s="116"/>
      <c r="BI58" s="113" t="str">
        <f t="shared" si="74"/>
        <v>-</v>
      </c>
      <c r="BJ58" s="120">
        <f t="shared" si="75"/>
        <v>0</v>
      </c>
      <c r="BK58" s="123"/>
      <c r="BL58" s="123"/>
      <c r="BM58" s="123"/>
      <c r="BN58" s="116"/>
      <c r="BO58" s="116"/>
      <c r="BP58" s="116"/>
      <c r="BQ58" s="116"/>
      <c r="BR58" s="116"/>
      <c r="BS58" s="123"/>
      <c r="BT58" s="123"/>
      <c r="BU58" s="116"/>
      <c r="BV58" s="116"/>
      <c r="BW58" s="116"/>
      <c r="BX58" s="116"/>
      <c r="BY58" s="116"/>
      <c r="BZ58" s="94"/>
      <c r="CA58" s="107"/>
      <c r="CB58" s="116" t="str">
        <f t="array" ref="CB58">IFERROR(INDEX('Resument Total - Ofertas Proyec'!$B:$B,MATCH(CE58,'Resument Total - Ofertas Proyec'!$D:$D,0)),"")</f>
        <v/>
      </c>
      <c r="CC58" s="116" t="str">
        <f t="array" ref="CC58">IFERROR(INDEX('Imputación TR - Proyecto-Quince'!$B:$B,MATCH(CE58,'Imputación TR - Proyecto-Quince'!$C:$C,0)),"")</f>
        <v/>
      </c>
      <c r="CD58" s="116"/>
      <c r="CE58" s="116"/>
      <c r="CF58" s="116" t="str">
        <f t="shared" si="56"/>
        <v/>
      </c>
      <c r="CG58" s="120" t="s">
        <v>82</v>
      </c>
      <c r="CH58" s="116"/>
      <c r="CI58" s="113" t="str">
        <f t="shared" si="76"/>
        <v>-</v>
      </c>
      <c r="CJ58" s="120">
        <f t="shared" si="77"/>
        <v>0</v>
      </c>
      <c r="CK58" s="123"/>
      <c r="CL58" s="123"/>
      <c r="CM58" s="116"/>
      <c r="CN58" s="116"/>
      <c r="CO58" s="116"/>
      <c r="CP58" s="116"/>
      <c r="CQ58" s="116"/>
      <c r="CR58" s="123"/>
      <c r="CS58" s="123"/>
      <c r="CT58" s="116"/>
      <c r="CU58" s="116"/>
      <c r="CV58" s="116"/>
      <c r="CW58" s="116"/>
      <c r="CX58" s="116"/>
      <c r="CY58" s="123"/>
      <c r="CZ58" s="124"/>
      <c r="DA58" s="94"/>
      <c r="DB58" s="107"/>
      <c r="DC58" s="116" t="str">
        <f t="array" ref="DC58">IFERROR(INDEX('Resument Total - Ofertas Proyec'!$B:$B,MATCH(DF58,'Resument Total - Ofertas Proyec'!$D:$D,0)),"")</f>
        <v/>
      </c>
      <c r="DD58" s="116" t="str">
        <f t="array" ref="DD58">IFERROR(INDEX('Imputación TR - Proyecto-Quince'!$B:$B,MATCH(DF58,'Imputación TR - Proyecto-Quince'!$C:$C,0)),"")</f>
        <v/>
      </c>
      <c r="DE58" s="116"/>
      <c r="DF58" s="116"/>
      <c r="DG58" s="116" t="str">
        <f t="shared" si="59"/>
        <v/>
      </c>
      <c r="DH58" s="120" t="s">
        <v>82</v>
      </c>
      <c r="DI58" s="116"/>
      <c r="DJ58" s="113" t="str">
        <f t="shared" si="60"/>
        <v>-</v>
      </c>
      <c r="DK58" s="120">
        <f t="shared" si="78"/>
        <v>0</v>
      </c>
      <c r="DL58" s="116"/>
      <c r="DM58" s="116"/>
      <c r="DN58" s="116"/>
      <c r="DO58" s="116"/>
      <c r="DP58" s="116"/>
      <c r="DQ58" s="123"/>
      <c r="DR58" s="123"/>
      <c r="DS58" s="125"/>
      <c r="DT58" s="125"/>
      <c r="DU58" s="125"/>
      <c r="DV58" s="125"/>
      <c r="DW58" s="125"/>
      <c r="DX58" s="126"/>
      <c r="DY58" s="126"/>
      <c r="DZ58" s="125"/>
      <c r="EA58" s="94"/>
      <c r="EB58" s="107"/>
      <c r="EC58" s="116" t="str">
        <f t="array" ref="EC58">IFERROR(INDEX('Resument Total - Ofertas Proyec'!$B:$B,MATCH(EF58,'Resument Total - Ofertas Proyec'!$D:$D,0)),"")</f>
        <v/>
      </c>
      <c r="ED58" s="116" t="str">
        <f t="array" ref="ED58">IFERROR(INDEX('Imputación TR - Proyecto-Quince'!$B:$B,MATCH(EF58,'Imputación TR - Proyecto-Quince'!$C:$C,0)),"")</f>
        <v/>
      </c>
      <c r="EE58" s="116"/>
      <c r="EF58" s="116"/>
      <c r="EG58" s="116" t="str">
        <f t="shared" si="90"/>
        <v/>
      </c>
      <c r="EH58" s="120" t="s">
        <v>82</v>
      </c>
      <c r="EI58" s="116"/>
      <c r="EJ58" s="113" t="str">
        <f t="shared" si="79"/>
        <v>-</v>
      </c>
      <c r="EK58" s="120">
        <f t="shared" si="80"/>
        <v>0</v>
      </c>
      <c r="EL58" s="116"/>
      <c r="EM58" s="116"/>
      <c r="EN58" s="116"/>
      <c r="EO58" s="116"/>
      <c r="EP58" s="123"/>
      <c r="EQ58" s="123"/>
      <c r="ER58" s="125"/>
      <c r="ES58" s="125"/>
      <c r="ET58" s="125"/>
      <c r="EU58" s="125"/>
      <c r="EV58" s="125"/>
      <c r="EW58" s="126"/>
      <c r="EX58" s="126"/>
      <c r="EY58" s="125"/>
      <c r="EZ58" s="125"/>
    </row>
    <row r="59" ht="18.0" customHeight="1">
      <c r="A59" s="233"/>
      <c r="B59" s="234"/>
      <c r="C59" s="234"/>
      <c r="D59" s="234"/>
      <c r="E59" s="235"/>
      <c r="F59" s="235"/>
      <c r="G59" s="234"/>
      <c r="H59" s="235"/>
      <c r="I59" s="236"/>
      <c r="J59" s="234"/>
      <c r="K59" s="235"/>
      <c r="L59" s="237"/>
      <c r="M59" s="237"/>
      <c r="N59" s="238"/>
      <c r="O59" s="238"/>
      <c r="P59" s="235"/>
      <c r="Q59" s="235"/>
      <c r="R59" s="235"/>
      <c r="S59" s="235"/>
      <c r="T59" s="235"/>
      <c r="U59" s="238"/>
      <c r="V59" s="238"/>
      <c r="W59" s="235"/>
      <c r="X59" s="235"/>
      <c r="Y59" s="235"/>
      <c r="Z59" s="239"/>
      <c r="AA59" s="240" t="s">
        <v>109</v>
      </c>
      <c r="AB59" s="241"/>
      <c r="AC59" s="241"/>
      <c r="AD59" s="75" t="s">
        <v>64</v>
      </c>
      <c r="AE59" s="95"/>
      <c r="AF59" s="46" t="str">
        <f t="shared" si="70"/>
        <v/>
      </c>
      <c r="AG59" s="75" t="s">
        <v>80</v>
      </c>
      <c r="AH59" s="78" t="s">
        <v>81</v>
      </c>
      <c r="AI59" s="242"/>
      <c r="AJ59" s="143">
        <f t="shared" si="72"/>
        <v>45</v>
      </c>
      <c r="AK59" s="230"/>
      <c r="AL59" s="230"/>
      <c r="AM59" s="231"/>
      <c r="AN59" s="231"/>
      <c r="AO59" s="230"/>
      <c r="AP59" s="230"/>
      <c r="AQ59" s="230"/>
      <c r="AR59" s="230"/>
      <c r="AS59" s="230">
        <v>9.0</v>
      </c>
      <c r="AT59" s="231"/>
      <c r="AU59" s="231"/>
      <c r="AV59" s="230">
        <v>9.0</v>
      </c>
      <c r="AW59" s="230">
        <v>9.0</v>
      </c>
      <c r="AX59" s="230">
        <v>9.0</v>
      </c>
      <c r="AY59" s="230">
        <v>9.0</v>
      </c>
      <c r="AZ59" s="243"/>
      <c r="BA59" s="240" t="s">
        <v>109</v>
      </c>
      <c r="BB59" s="46" t="str">
        <f t="array" ref="BB59">IFERROR(INDEX('Resument Total - Ofertas Proyec'!$B:$B,MATCH(BE59,'Resument Total - Ofertas Proyec'!$D:$D,0)),"")</f>
        <v>SDATOOL-51125</v>
      </c>
      <c r="BC59" s="67" t="str">
        <f t="array" ref="BC59">IFERROR(INDEX('Imputación TR - Proyecto-Quince'!$B:$B,MATCH(BE59,'Imputación TR - Proyecto-Quince'!$C:$C,0)),"")</f>
        <v>Migración FX y MM. Apagado Midas - Operaciones</v>
      </c>
      <c r="BD59" s="75"/>
      <c r="BE59" s="24" t="s">
        <v>38</v>
      </c>
      <c r="BF59" s="46" t="str">
        <f t="shared" si="73"/>
        <v/>
      </c>
      <c r="BG59" s="75" t="s">
        <v>80</v>
      </c>
      <c r="BH59" s="78" t="s">
        <v>81</v>
      </c>
      <c r="BI59" s="242"/>
      <c r="BJ59" s="143">
        <f t="shared" si="75"/>
        <v>150</v>
      </c>
      <c r="BK59" s="231"/>
      <c r="BL59" s="231"/>
      <c r="BM59" s="231"/>
      <c r="BN59" s="230">
        <v>15.0</v>
      </c>
      <c r="BO59" s="230">
        <v>15.0</v>
      </c>
      <c r="BP59" s="230">
        <v>15.0</v>
      </c>
      <c r="BQ59" s="230">
        <v>15.0</v>
      </c>
      <c r="BR59" s="230">
        <v>15.0</v>
      </c>
      <c r="BS59" s="231"/>
      <c r="BT59" s="231"/>
      <c r="BU59" s="230">
        <v>15.0</v>
      </c>
      <c r="BV59" s="230">
        <v>15.0</v>
      </c>
      <c r="BW59" s="230">
        <v>15.0</v>
      </c>
      <c r="BX59" s="230">
        <v>15.0</v>
      </c>
      <c r="BY59" s="230">
        <v>15.0</v>
      </c>
      <c r="BZ59" s="243"/>
      <c r="CA59" s="240" t="s">
        <v>109</v>
      </c>
      <c r="CB59" s="241" t="str">
        <f t="array" ref="CB59">IFERROR(INDEX('Resument Total - Ofertas Proyec'!$B:$B,MATCH(CE59,'Resument Total - Ofertas Proyec'!$D:$D,0)),"")</f>
        <v>SDATOOL-51125</v>
      </c>
      <c r="CC59" s="241" t="str">
        <f t="array" ref="CC59">IFERROR(INDEX('Imputación TR - Proyecto-Quince'!$B:$B,MATCH(CE59,'Imputación TR - Proyecto-Quince'!$C:$C,0)),"")</f>
        <v>Migración FX y MM. Apagado Midas - Operaciones</v>
      </c>
      <c r="CD59" s="244"/>
      <c r="CE59" s="24" t="s">
        <v>38</v>
      </c>
      <c r="CF59" s="245" t="str">
        <f t="shared" si="56"/>
        <v/>
      </c>
      <c r="CG59" s="229" t="s">
        <v>83</v>
      </c>
      <c r="CH59" s="230" t="s">
        <v>81</v>
      </c>
      <c r="CI59" s="242" t="str">
        <f t="shared" si="76"/>
        <v>-</v>
      </c>
      <c r="CJ59" s="245">
        <f t="shared" si="77"/>
        <v>100</v>
      </c>
      <c r="CK59" s="231"/>
      <c r="CL59" s="231"/>
      <c r="CM59" s="230">
        <v>10.0</v>
      </c>
      <c r="CN59" s="230">
        <v>10.0</v>
      </c>
      <c r="CO59" s="230">
        <v>10.0</v>
      </c>
      <c r="CP59" s="230">
        <v>10.0</v>
      </c>
      <c r="CQ59" s="230">
        <v>10.0</v>
      </c>
      <c r="CR59" s="231"/>
      <c r="CS59" s="231"/>
      <c r="CT59" s="230">
        <v>10.0</v>
      </c>
      <c r="CU59" s="230">
        <v>10.0</v>
      </c>
      <c r="CV59" s="230">
        <v>10.0</v>
      </c>
      <c r="CW59" s="230">
        <v>10.0</v>
      </c>
      <c r="CX59" s="230">
        <v>10.0</v>
      </c>
      <c r="CY59" s="231"/>
      <c r="CZ59" s="246"/>
      <c r="DA59" s="243"/>
      <c r="DB59" s="240" t="s">
        <v>109</v>
      </c>
      <c r="DC59" s="241" t="str">
        <f t="array" ref="DC59">IFERROR(INDEX('Resument Total - Ofertas Proyec'!$B:$B,MATCH(DF59,'Resument Total - Ofertas Proyec'!$D:$D,0)),"")</f>
        <v>SDATOOL-38779</v>
      </c>
      <c r="DD59" s="241" t="str">
        <f t="array" ref="DD59">IFERROR(INDEX('Imputación TR - Proyecto-Quince'!$B:$B,MATCH(DF59,'Imputación TR - Proyecto-Quince'!$C:$C,0)),"")</f>
        <v>Sec Lending_Sponsored Repo</v>
      </c>
      <c r="DE59" s="244"/>
      <c r="DF59" s="10" t="s">
        <v>55</v>
      </c>
      <c r="DG59" s="57" t="str">
        <f t="shared" si="59"/>
        <v>GoldenSource</v>
      </c>
      <c r="DH59" s="69" t="s">
        <v>83</v>
      </c>
      <c r="DI59" s="64" t="s">
        <v>86</v>
      </c>
      <c r="DJ59" s="242" t="str">
        <f t="shared" si="60"/>
        <v>Otras Tecnologías</v>
      </c>
      <c r="DK59" s="245">
        <f t="shared" si="78"/>
        <v>75</v>
      </c>
      <c r="DL59" s="230">
        <v>15.0</v>
      </c>
      <c r="DM59" s="230">
        <v>15.0</v>
      </c>
      <c r="DN59" s="230">
        <v>15.0</v>
      </c>
      <c r="DO59" s="230">
        <v>15.0</v>
      </c>
      <c r="DP59" s="230">
        <v>15.0</v>
      </c>
      <c r="DQ59" s="231"/>
      <c r="DR59" s="231"/>
      <c r="DS59" s="247"/>
      <c r="DT59" s="247"/>
      <c r="DU59" s="247"/>
      <c r="DV59" s="247"/>
      <c r="DW59" s="247"/>
      <c r="DX59" s="248"/>
      <c r="DY59" s="248"/>
      <c r="DZ59" s="247"/>
      <c r="EA59" s="243"/>
      <c r="EB59" s="240" t="s">
        <v>109</v>
      </c>
      <c r="EC59" s="241" t="str">
        <f t="array" ref="EC59">IFERROR(INDEX('Resument Total - Ofertas Proyec'!$B:$B,MATCH(EF59,'Resument Total - Ofertas Proyec'!$D:$D,0)),"")</f>
        <v/>
      </c>
      <c r="ED59" s="241" t="str">
        <f t="array" ref="ED59">IFERROR(INDEX('Imputación TR - Proyecto-Quince'!$B:$B,MATCH(EF59,'Imputación TR - Proyecto-Quince'!$C:$C,0)),"")</f>
        <v/>
      </c>
      <c r="EE59" s="61" t="s">
        <v>64</v>
      </c>
      <c r="EF59" s="184"/>
      <c r="EG59" s="184" t="str">
        <f t="shared" si="90"/>
        <v/>
      </c>
      <c r="EH59" s="144" t="s">
        <v>80</v>
      </c>
      <c r="EI59" s="64" t="s">
        <v>81</v>
      </c>
      <c r="EJ59" s="70" t="str">
        <f t="shared" si="79"/>
        <v>-</v>
      </c>
      <c r="EK59" s="57">
        <f t="shared" si="80"/>
        <v>93</v>
      </c>
      <c r="EL59" s="64">
        <v>9.0</v>
      </c>
      <c r="EM59" s="64">
        <v>9.0</v>
      </c>
      <c r="EN59" s="64">
        <v>9.0</v>
      </c>
      <c r="EO59" s="64">
        <v>6.0</v>
      </c>
      <c r="EP59" s="80"/>
      <c r="EQ59" s="80"/>
      <c r="ER59" s="83">
        <v>9.0</v>
      </c>
      <c r="ES59" s="83">
        <v>9.0</v>
      </c>
      <c r="ET59" s="83">
        <v>9.0</v>
      </c>
      <c r="EU59" s="83">
        <v>9.0</v>
      </c>
      <c r="EV59" s="83">
        <v>6.0</v>
      </c>
      <c r="EW59" s="82"/>
      <c r="EX59" s="82"/>
      <c r="EY59" s="83">
        <v>9.0</v>
      </c>
      <c r="EZ59" s="83">
        <v>9.0</v>
      </c>
    </row>
    <row r="60" ht="18.0" customHeight="1">
      <c r="A60" s="233"/>
      <c r="B60" s="234"/>
      <c r="C60" s="234"/>
      <c r="D60" s="234"/>
      <c r="E60" s="235"/>
      <c r="F60" s="235"/>
      <c r="G60" s="234"/>
      <c r="H60" s="235"/>
      <c r="I60" s="236"/>
      <c r="J60" s="234"/>
      <c r="K60" s="235"/>
      <c r="L60" s="237"/>
      <c r="M60" s="237"/>
      <c r="N60" s="238"/>
      <c r="O60" s="238"/>
      <c r="P60" s="235"/>
      <c r="Q60" s="235"/>
      <c r="R60" s="235"/>
      <c r="S60" s="235"/>
      <c r="T60" s="235"/>
      <c r="U60" s="238"/>
      <c r="V60" s="238"/>
      <c r="W60" s="235"/>
      <c r="X60" s="235"/>
      <c r="Y60" s="235"/>
      <c r="Z60" s="239"/>
      <c r="AA60" s="88"/>
      <c r="AB60" s="245"/>
      <c r="AC60" s="245"/>
      <c r="AD60" s="249"/>
      <c r="AE60" s="250"/>
      <c r="AF60" s="46" t="str">
        <f t="shared" si="70"/>
        <v/>
      </c>
      <c r="AG60" s="250"/>
      <c r="AH60" s="251"/>
      <c r="AI60" s="252"/>
      <c r="AJ60" s="46">
        <f t="shared" si="72"/>
        <v>0</v>
      </c>
      <c r="AK60" s="253"/>
      <c r="AL60" s="253"/>
      <c r="AM60" s="254"/>
      <c r="AN60" s="254"/>
      <c r="AO60" s="253"/>
      <c r="AP60" s="253"/>
      <c r="AQ60" s="253"/>
      <c r="AR60" s="253"/>
      <c r="AS60" s="253"/>
      <c r="AT60" s="254"/>
      <c r="AU60" s="254"/>
      <c r="AV60" s="253"/>
      <c r="AW60" s="253"/>
      <c r="AX60" s="253"/>
      <c r="AY60" s="255"/>
      <c r="AZ60" s="256"/>
      <c r="BA60" s="88"/>
      <c r="BB60" s="245"/>
      <c r="BC60" s="245"/>
      <c r="BD60" s="249"/>
      <c r="BE60" s="24"/>
      <c r="BF60" s="250"/>
      <c r="BG60" s="257"/>
      <c r="BH60" s="258"/>
      <c r="BI60" s="252"/>
      <c r="BJ60" s="46">
        <f t="shared" si="75"/>
        <v>0</v>
      </c>
      <c r="BK60" s="259"/>
      <c r="BL60" s="259"/>
      <c r="BM60" s="259"/>
      <c r="BN60" s="260"/>
      <c r="BO60" s="260"/>
      <c r="BP60" s="260"/>
      <c r="BQ60" s="260"/>
      <c r="BR60" s="260"/>
      <c r="BS60" s="259"/>
      <c r="BT60" s="259"/>
      <c r="BU60" s="260"/>
      <c r="BV60" s="260"/>
      <c r="BW60" s="260"/>
      <c r="BX60" s="260"/>
      <c r="BY60" s="261"/>
      <c r="BZ60" s="256"/>
      <c r="CA60" s="88"/>
      <c r="CB60" s="245" t="str">
        <f t="array" ref="CB60">IFERROR(INDEX('Resument Total - Ofertas Proyec'!$B:$B,MATCH(CE60,'Resument Total - Ofertas Proyec'!$D:$D,0)),"")</f>
        <v/>
      </c>
      <c r="CC60" s="245" t="str">
        <f t="array" ref="CC60">IFERROR(INDEX('Imputación TR - Proyecto-Quince'!$B:$B,MATCH(CE60,'Imputación TR - Proyecto-Quince'!$C:$C,0)),"")</f>
        <v/>
      </c>
      <c r="CD60" s="249"/>
      <c r="CE60" s="250"/>
      <c r="CF60" s="250" t="str">
        <f t="shared" si="56"/>
        <v/>
      </c>
      <c r="CG60" s="250" t="s">
        <v>82</v>
      </c>
      <c r="CH60" s="251"/>
      <c r="CI60" s="252" t="str">
        <f t="shared" si="76"/>
        <v>-</v>
      </c>
      <c r="CJ60" s="250">
        <f t="shared" si="77"/>
        <v>0</v>
      </c>
      <c r="CK60" s="259"/>
      <c r="CL60" s="259"/>
      <c r="CM60" s="261"/>
      <c r="CN60" s="261"/>
      <c r="CO60" s="261"/>
      <c r="CP60" s="261"/>
      <c r="CQ60" s="261"/>
      <c r="CR60" s="259"/>
      <c r="CS60" s="259"/>
      <c r="CT60" s="261"/>
      <c r="CU60" s="261"/>
      <c r="CV60" s="261"/>
      <c r="CW60" s="261"/>
      <c r="CX60" s="261"/>
      <c r="CY60" s="259"/>
      <c r="CZ60" s="262"/>
      <c r="DA60" s="256"/>
      <c r="DB60" s="88"/>
      <c r="DC60" s="245" t="str">
        <f t="array" ref="DC60">IFERROR(INDEX('Resument Total - Ofertas Proyec'!$B:$B,MATCH(DF60,'Resument Total - Ofertas Proyec'!$D:$D,0)),"")</f>
        <v/>
      </c>
      <c r="DD60" s="245" t="str">
        <f t="array" ref="DD60">IFERROR(INDEX('Imputación TR - Proyecto-Quince'!$B:$B,MATCH(DF60,'Imputación TR - Proyecto-Quince'!$C:$C,0)),"")</f>
        <v/>
      </c>
      <c r="DE60" s="46" t="s">
        <v>64</v>
      </c>
      <c r="DF60" s="68"/>
      <c r="DG60" s="68" t="str">
        <f t="shared" si="59"/>
        <v/>
      </c>
      <c r="DH60" s="75" t="s">
        <v>80</v>
      </c>
      <c r="DI60" s="78" t="s">
        <v>81</v>
      </c>
      <c r="DJ60" s="252" t="str">
        <f t="shared" si="60"/>
        <v>-</v>
      </c>
      <c r="DK60" s="250">
        <f t="shared" si="78"/>
        <v>51</v>
      </c>
      <c r="DL60" s="261"/>
      <c r="DM60" s="261"/>
      <c r="DN60" s="261"/>
      <c r="DO60" s="261"/>
      <c r="DP60" s="261"/>
      <c r="DQ60" s="259"/>
      <c r="DR60" s="259"/>
      <c r="DS60" s="102">
        <v>9.0</v>
      </c>
      <c r="DT60" s="102">
        <v>9.0</v>
      </c>
      <c r="DU60" s="102">
        <v>9.0</v>
      </c>
      <c r="DV60" s="102">
        <v>9.0</v>
      </c>
      <c r="DW60" s="102">
        <v>6.0</v>
      </c>
      <c r="DX60" s="103"/>
      <c r="DY60" s="103"/>
      <c r="DZ60" s="102">
        <v>9.0</v>
      </c>
      <c r="EA60" s="256"/>
      <c r="EB60" s="88"/>
      <c r="EC60" s="245" t="str">
        <f t="array" ref="EC60">IFERROR(INDEX('Resument Total - Ofertas Proyec'!$B:$B,MATCH(EF60,'Resument Total - Ofertas Proyec'!$D:$D,0)),"")</f>
        <v/>
      </c>
      <c r="ED60" s="245" t="str">
        <f t="array" ref="ED60">IFERROR(INDEX('Imputación TR - Proyecto-Quince'!$B:$B,MATCH(EF60,'Imputación TR - Proyecto-Quince'!$C:$C,0)),"")</f>
        <v/>
      </c>
      <c r="EE60" s="249"/>
      <c r="EF60" s="250"/>
      <c r="EG60" s="250" t="str">
        <f t="shared" si="90"/>
        <v/>
      </c>
      <c r="EH60" s="250" t="s">
        <v>82</v>
      </c>
      <c r="EI60" s="251"/>
      <c r="EJ60" s="252" t="str">
        <f t="shared" si="79"/>
        <v>-</v>
      </c>
      <c r="EK60" s="250">
        <f t="shared" si="80"/>
        <v>0</v>
      </c>
      <c r="EL60" s="261"/>
      <c r="EM60" s="261"/>
      <c r="EN60" s="261"/>
      <c r="EO60" s="261"/>
      <c r="EP60" s="259"/>
      <c r="EQ60" s="259"/>
      <c r="ER60" s="261"/>
      <c r="ES60" s="261"/>
      <c r="ET60" s="261"/>
      <c r="EU60" s="261"/>
      <c r="EV60" s="261"/>
      <c r="EW60" s="259"/>
      <c r="EX60" s="259"/>
      <c r="EY60" s="261"/>
      <c r="EZ60" s="261"/>
    </row>
    <row r="61" ht="18.0" customHeight="1">
      <c r="A61" s="233"/>
      <c r="B61" s="234"/>
      <c r="C61" s="234"/>
      <c r="D61" s="234"/>
      <c r="E61" s="235"/>
      <c r="F61" s="235"/>
      <c r="G61" s="234"/>
      <c r="H61" s="235"/>
      <c r="I61" s="236"/>
      <c r="J61" s="234"/>
      <c r="K61" s="235"/>
      <c r="L61" s="237"/>
      <c r="M61" s="237"/>
      <c r="N61" s="238"/>
      <c r="O61" s="238"/>
      <c r="P61" s="235"/>
      <c r="Q61" s="235"/>
      <c r="R61" s="235"/>
      <c r="S61" s="235"/>
      <c r="T61" s="235"/>
      <c r="U61" s="238"/>
      <c r="V61" s="238"/>
      <c r="W61" s="235"/>
      <c r="X61" s="235"/>
      <c r="Y61" s="235"/>
      <c r="Z61" s="239"/>
      <c r="AA61" s="107"/>
      <c r="AB61" s="263"/>
      <c r="AC61" s="263"/>
      <c r="AD61" s="263"/>
      <c r="AE61" s="263"/>
      <c r="AF61" s="116" t="str">
        <f t="shared" si="70"/>
        <v/>
      </c>
      <c r="AG61" s="264"/>
      <c r="AH61" s="263"/>
      <c r="AI61" s="265"/>
      <c r="AJ61" s="120">
        <f t="shared" si="72"/>
        <v>0</v>
      </c>
      <c r="AK61" s="264"/>
      <c r="AL61" s="264"/>
      <c r="AM61" s="266"/>
      <c r="AN61" s="266"/>
      <c r="AO61" s="264"/>
      <c r="AP61" s="264"/>
      <c r="AQ61" s="264"/>
      <c r="AR61" s="264"/>
      <c r="AS61" s="264"/>
      <c r="AT61" s="266"/>
      <c r="AU61" s="266"/>
      <c r="AV61" s="264"/>
      <c r="AW61" s="264"/>
      <c r="AX61" s="264"/>
      <c r="AY61" s="267"/>
      <c r="AZ61" s="256"/>
      <c r="BA61" s="107"/>
      <c r="BB61" s="263"/>
      <c r="BC61" s="263"/>
      <c r="BD61" s="263"/>
      <c r="BE61" s="263"/>
      <c r="BF61" s="263"/>
      <c r="BG61" s="264"/>
      <c r="BH61" s="263"/>
      <c r="BI61" s="265"/>
      <c r="BJ61" s="120">
        <f t="shared" si="75"/>
        <v>0</v>
      </c>
      <c r="BK61" s="268"/>
      <c r="BL61" s="268"/>
      <c r="BM61" s="268"/>
      <c r="BN61" s="263"/>
      <c r="BO61" s="263"/>
      <c r="BP61" s="263"/>
      <c r="BQ61" s="263"/>
      <c r="BR61" s="263"/>
      <c r="BS61" s="268"/>
      <c r="BT61" s="268"/>
      <c r="BU61" s="263"/>
      <c r="BV61" s="263"/>
      <c r="BW61" s="263"/>
      <c r="BX61" s="263"/>
      <c r="BY61" s="263"/>
      <c r="BZ61" s="256"/>
      <c r="CA61" s="107"/>
      <c r="CB61" s="263" t="str">
        <f t="array" ref="CB61">IFERROR(INDEX('Resument Total - Ofertas Proyec'!$B:$B,MATCH(CE61,'Resument Total - Ofertas Proyec'!$D:$D,0)),"")</f>
        <v/>
      </c>
      <c r="CC61" s="263" t="str">
        <f t="array" ref="CC61">IFERROR(INDEX('Imputación TR - Proyecto-Quince'!$B:$B,MATCH(CE61,'Imputación TR - Proyecto-Quince'!$C:$C,0)),"")</f>
        <v/>
      </c>
      <c r="CD61" s="263"/>
      <c r="CE61" s="263"/>
      <c r="CF61" s="263" t="str">
        <f t="shared" si="56"/>
        <v/>
      </c>
      <c r="CG61" s="264" t="s">
        <v>82</v>
      </c>
      <c r="CH61" s="263"/>
      <c r="CI61" s="265" t="str">
        <f t="shared" si="76"/>
        <v>-</v>
      </c>
      <c r="CJ61" s="264">
        <f t="shared" si="77"/>
        <v>0</v>
      </c>
      <c r="CK61" s="268"/>
      <c r="CL61" s="268"/>
      <c r="CM61" s="263"/>
      <c r="CN61" s="263"/>
      <c r="CO61" s="263"/>
      <c r="CP61" s="263"/>
      <c r="CQ61" s="263"/>
      <c r="CR61" s="268"/>
      <c r="CS61" s="268"/>
      <c r="CT61" s="263"/>
      <c r="CU61" s="263"/>
      <c r="CV61" s="263"/>
      <c r="CW61" s="263"/>
      <c r="CX61" s="263"/>
      <c r="CY61" s="268"/>
      <c r="CZ61" s="269"/>
      <c r="DA61" s="256"/>
      <c r="DB61" s="107"/>
      <c r="DC61" s="263" t="str">
        <f t="array" ref="DC61">IFERROR(INDEX('Resument Total - Ofertas Proyec'!$B:$B,MATCH(DF61,'Resument Total - Ofertas Proyec'!$D:$D,0)),"")</f>
        <v/>
      </c>
      <c r="DD61" s="263" t="str">
        <f t="array" ref="DD61">IFERROR(INDEX('Imputación TR - Proyecto-Quince'!$B:$B,MATCH(DF61,'Imputación TR - Proyecto-Quince'!$C:$C,0)),"")</f>
        <v/>
      </c>
      <c r="DE61" s="263"/>
      <c r="DF61" s="263"/>
      <c r="DG61" s="263" t="str">
        <f t="shared" si="59"/>
        <v/>
      </c>
      <c r="DH61" s="264" t="s">
        <v>82</v>
      </c>
      <c r="DI61" s="263"/>
      <c r="DJ61" s="265" t="str">
        <f t="shared" si="60"/>
        <v>-</v>
      </c>
      <c r="DK61" s="264">
        <f t="shared" si="78"/>
        <v>0</v>
      </c>
      <c r="DL61" s="263"/>
      <c r="DM61" s="263"/>
      <c r="DN61" s="263"/>
      <c r="DO61" s="263"/>
      <c r="DP61" s="263"/>
      <c r="DQ61" s="268"/>
      <c r="DR61" s="268"/>
      <c r="DS61" s="263"/>
      <c r="DT61" s="263"/>
      <c r="DU61" s="263"/>
      <c r="DV61" s="263"/>
      <c r="DW61" s="263"/>
      <c r="DX61" s="268"/>
      <c r="DY61" s="268"/>
      <c r="DZ61" s="263"/>
      <c r="EA61" s="256"/>
      <c r="EB61" s="107"/>
      <c r="EC61" s="263" t="str">
        <f t="array" ref="EC61">IFERROR(INDEX('Resument Total - Ofertas Proyec'!$B:$B,MATCH(EF61,'Resument Total - Ofertas Proyec'!$D:$D,0)),"")</f>
        <v/>
      </c>
      <c r="ED61" s="263" t="str">
        <f t="array" ref="ED61">IFERROR(INDEX('Imputación TR - Proyecto-Quince'!$B:$B,MATCH(EF61,'Imputación TR - Proyecto-Quince'!$C:$C,0)),"")</f>
        <v/>
      </c>
      <c r="EE61" s="263"/>
      <c r="EF61" s="263"/>
      <c r="EG61" s="263" t="str">
        <f t="shared" si="90"/>
        <v/>
      </c>
      <c r="EH61" s="264" t="s">
        <v>82</v>
      </c>
      <c r="EI61" s="263"/>
      <c r="EJ61" s="265" t="str">
        <f t="shared" si="79"/>
        <v>-</v>
      </c>
      <c r="EK61" s="264">
        <f t="shared" si="80"/>
        <v>0</v>
      </c>
      <c r="EL61" s="263"/>
      <c r="EM61" s="263"/>
      <c r="EN61" s="263"/>
      <c r="EO61" s="263"/>
      <c r="EP61" s="268"/>
      <c r="EQ61" s="268"/>
      <c r="ER61" s="263"/>
      <c r="ES61" s="263"/>
      <c r="ET61" s="263"/>
      <c r="EU61" s="263"/>
      <c r="EV61" s="263"/>
      <c r="EW61" s="268"/>
      <c r="EX61" s="268"/>
      <c r="EY61" s="263"/>
      <c r="EZ61" s="263"/>
    </row>
  </sheetData>
  <mergeCells count="119">
    <mergeCell ref="BA2:BA4"/>
    <mergeCell ref="BA5:BA7"/>
    <mergeCell ref="BA8:BA10"/>
    <mergeCell ref="CA8:CA10"/>
    <mergeCell ref="BA11:BA13"/>
    <mergeCell ref="CA11:CA13"/>
    <mergeCell ref="CA14:CA16"/>
    <mergeCell ref="BA14:BA16"/>
    <mergeCell ref="BA17:BA19"/>
    <mergeCell ref="BA20:BA22"/>
    <mergeCell ref="BA23:BA25"/>
    <mergeCell ref="BA26:BA28"/>
    <mergeCell ref="BA29:BA31"/>
    <mergeCell ref="BA32:BA34"/>
    <mergeCell ref="CA44:CA46"/>
    <mergeCell ref="CA47:CA49"/>
    <mergeCell ref="CA50:CA52"/>
    <mergeCell ref="CA53:CA55"/>
    <mergeCell ref="CA56:CA58"/>
    <mergeCell ref="CA59:CA61"/>
    <mergeCell ref="CA23:CA25"/>
    <mergeCell ref="CA26:CA28"/>
    <mergeCell ref="CA29:CA31"/>
    <mergeCell ref="CA32:CA34"/>
    <mergeCell ref="CA35:CA37"/>
    <mergeCell ref="CA38:CA40"/>
    <mergeCell ref="CA41:CA43"/>
    <mergeCell ref="BA56:BA58"/>
    <mergeCell ref="BA59:BA61"/>
    <mergeCell ref="BA35:BA37"/>
    <mergeCell ref="BA38:BA40"/>
    <mergeCell ref="BA41:BA43"/>
    <mergeCell ref="BA44:BA46"/>
    <mergeCell ref="BA47:BA49"/>
    <mergeCell ref="BA50:BA52"/>
    <mergeCell ref="BA53:BA55"/>
    <mergeCell ref="A5:A7"/>
    <mergeCell ref="A8:A10"/>
    <mergeCell ref="A11:A13"/>
    <mergeCell ref="A14:A16"/>
    <mergeCell ref="A17:A19"/>
    <mergeCell ref="A20:A22"/>
    <mergeCell ref="A23:A25"/>
    <mergeCell ref="AA41:AA43"/>
    <mergeCell ref="AA44:AA46"/>
    <mergeCell ref="AA47:AA49"/>
    <mergeCell ref="AA50:AA52"/>
    <mergeCell ref="AA53:AA55"/>
    <mergeCell ref="AA56:AA58"/>
    <mergeCell ref="AA59:AA61"/>
    <mergeCell ref="AA8:AA10"/>
    <mergeCell ref="AA23:AA25"/>
    <mergeCell ref="AA26:AA28"/>
    <mergeCell ref="AA29:AA31"/>
    <mergeCell ref="AA32:AA34"/>
    <mergeCell ref="AA35:AA37"/>
    <mergeCell ref="AA38:AA40"/>
    <mergeCell ref="A47:A49"/>
    <mergeCell ref="A50:A52"/>
    <mergeCell ref="A53:A55"/>
    <mergeCell ref="A56:A58"/>
    <mergeCell ref="A26:A28"/>
    <mergeCell ref="A29:A31"/>
    <mergeCell ref="A32:A34"/>
    <mergeCell ref="A35:A37"/>
    <mergeCell ref="A38:A40"/>
    <mergeCell ref="A41:A43"/>
    <mergeCell ref="A44:A46"/>
    <mergeCell ref="EB38:EB40"/>
    <mergeCell ref="EB41:EB43"/>
    <mergeCell ref="EB17:EB19"/>
    <mergeCell ref="EB20:EB22"/>
    <mergeCell ref="EB23:EB25"/>
    <mergeCell ref="EB26:EB28"/>
    <mergeCell ref="EB29:EB31"/>
    <mergeCell ref="EB32:EB34"/>
    <mergeCell ref="EB35:EB37"/>
    <mergeCell ref="DB47:DB49"/>
    <mergeCell ref="DB50:DB52"/>
    <mergeCell ref="DB53:DB55"/>
    <mergeCell ref="DB56:DB58"/>
    <mergeCell ref="DB59:DB61"/>
    <mergeCell ref="DB35:DB37"/>
    <mergeCell ref="DB38:DB40"/>
    <mergeCell ref="DB41:DB43"/>
    <mergeCell ref="DB44:DB46"/>
    <mergeCell ref="EB44:EB46"/>
    <mergeCell ref="EB47:EB49"/>
    <mergeCell ref="EB50:EB52"/>
    <mergeCell ref="EB59:EB61"/>
    <mergeCell ref="A2:A4"/>
    <mergeCell ref="AA2:AA4"/>
    <mergeCell ref="CA2:CA4"/>
    <mergeCell ref="EB2:EB4"/>
    <mergeCell ref="AA5:AA7"/>
    <mergeCell ref="CA5:CA7"/>
    <mergeCell ref="EB5:EB7"/>
    <mergeCell ref="AA14:AA16"/>
    <mergeCell ref="AA17:AA19"/>
    <mergeCell ref="AA11:AA13"/>
    <mergeCell ref="AA20:AA22"/>
    <mergeCell ref="CA17:CA19"/>
    <mergeCell ref="CA20:CA22"/>
    <mergeCell ref="DB2:DB4"/>
    <mergeCell ref="DB5:DB7"/>
    <mergeCell ref="DB8:DB10"/>
    <mergeCell ref="EB8:EB10"/>
    <mergeCell ref="DB11:DB13"/>
    <mergeCell ref="EB11:EB13"/>
    <mergeCell ref="EB14:EB16"/>
    <mergeCell ref="DB14:DB16"/>
    <mergeCell ref="DB17:DB19"/>
    <mergeCell ref="DB20:DB22"/>
    <mergeCell ref="DB23:DB25"/>
    <mergeCell ref="DB26:DB28"/>
    <mergeCell ref="DB29:DB31"/>
    <mergeCell ref="DB32:DB34"/>
    <mergeCell ref="EB53:EB55"/>
    <mergeCell ref="EB56:EB58"/>
  </mergeCells>
  <dataValidations>
    <dataValidation type="list" allowBlank="1" showErrorMessage="1" sqref="DG2:DH11 DH12 DG13:DH19 DH20 F2:G61 AF2:AG61 BF2:BG61 CF2:CG61 DG21:DH61 EG2:EH61">
      <formula1>CatalogDesplegable!$A$2:$A61</formula1>
    </dataValidation>
    <dataValidation type="list" allowBlank="1" showErrorMessage="1" sqref="DI2:DI11 DI12:DJ12 H2:H61 AH2:AH61 BH2:BH61 CH2:CH61 DI13:DI61 EI2:EI61">
      <formula1>CatalogDesplegable!$B$2:$B61</formula1>
    </dataValidation>
    <dataValidation type="list" allowBlank="1" showErrorMessage="1" sqref="DJ2:DJ11 I2:I61 AI2:AI61 BI2:BI61 CI2:CI61 DJ13:DJ61 EJ2:EJ61">
      <formula1>CatalogDesplegable!$C$2:$C61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54.5"/>
    <col customWidth="1" min="3" max="3" width="68.5"/>
  </cols>
  <sheetData>
    <row r="1">
      <c r="A1" s="270" t="s">
        <v>110</v>
      </c>
      <c r="B1" s="270" t="s">
        <v>111</v>
      </c>
      <c r="C1" s="270" t="s">
        <v>112</v>
      </c>
      <c r="D1" s="271"/>
      <c r="E1" s="271"/>
      <c r="F1" s="271"/>
      <c r="G1" s="271"/>
      <c r="H1" s="271"/>
      <c r="I1" s="271"/>
    </row>
    <row r="2">
      <c r="A2" s="272" t="s">
        <v>82</v>
      </c>
      <c r="B2" s="273"/>
      <c r="C2" s="273"/>
      <c r="D2" s="273"/>
      <c r="E2" s="273"/>
      <c r="F2" s="273"/>
      <c r="G2" s="273"/>
      <c r="H2" s="273"/>
      <c r="I2" s="273"/>
    </row>
    <row r="3">
      <c r="A3" s="272" t="s">
        <v>83</v>
      </c>
      <c r="B3" s="273"/>
      <c r="C3" s="273"/>
      <c r="D3" s="273"/>
      <c r="E3" s="273"/>
      <c r="F3" s="273"/>
      <c r="G3" s="273"/>
      <c r="H3" s="273"/>
      <c r="I3" s="273"/>
    </row>
    <row r="4">
      <c r="A4" s="272" t="s">
        <v>80</v>
      </c>
      <c r="B4" s="273"/>
      <c r="C4" s="273"/>
      <c r="D4" s="273"/>
      <c r="E4" s="273"/>
      <c r="F4" s="273"/>
      <c r="G4" s="273"/>
      <c r="H4" s="273"/>
      <c r="I4" s="273"/>
    </row>
    <row r="5">
      <c r="A5" s="272" t="s">
        <v>113</v>
      </c>
      <c r="B5" s="273"/>
      <c r="C5" s="273"/>
      <c r="D5" s="273"/>
      <c r="E5" s="273"/>
      <c r="F5" s="273"/>
      <c r="G5" s="273"/>
      <c r="H5" s="273"/>
      <c r="I5" s="273"/>
    </row>
    <row r="6">
      <c r="A6" s="273"/>
      <c r="B6" s="272" t="s">
        <v>82</v>
      </c>
      <c r="C6" s="273"/>
      <c r="D6" s="273"/>
      <c r="E6" s="273"/>
      <c r="F6" s="273"/>
      <c r="G6" s="273"/>
      <c r="H6" s="273"/>
      <c r="I6" s="273"/>
    </row>
    <row r="7">
      <c r="A7" s="273"/>
      <c r="B7" s="272" t="s">
        <v>81</v>
      </c>
      <c r="C7" s="273"/>
      <c r="D7" s="273"/>
      <c r="E7" s="273"/>
      <c r="F7" s="273"/>
      <c r="G7" s="273"/>
      <c r="H7" s="273"/>
      <c r="I7" s="273"/>
    </row>
    <row r="8">
      <c r="A8" s="273"/>
      <c r="B8" s="272" t="s">
        <v>114</v>
      </c>
      <c r="C8" s="273"/>
      <c r="D8" s="273"/>
      <c r="E8" s="273"/>
      <c r="F8" s="273"/>
      <c r="G8" s="273"/>
      <c r="H8" s="273"/>
      <c r="I8" s="273"/>
    </row>
    <row r="9">
      <c r="A9" s="273"/>
      <c r="B9" s="272" t="s">
        <v>84</v>
      </c>
      <c r="C9" s="273"/>
      <c r="D9" s="273"/>
      <c r="E9" s="273"/>
      <c r="F9" s="273"/>
      <c r="G9" s="273"/>
      <c r="H9" s="273"/>
      <c r="I9" s="273"/>
    </row>
    <row r="10">
      <c r="A10" s="273"/>
      <c r="B10" s="272" t="s">
        <v>115</v>
      </c>
      <c r="C10" s="273"/>
      <c r="D10" s="273"/>
      <c r="E10" s="273"/>
      <c r="F10" s="273"/>
      <c r="G10" s="273"/>
      <c r="H10" s="273"/>
      <c r="I10" s="273"/>
    </row>
    <row r="11">
      <c r="A11" s="273"/>
      <c r="B11" s="272" t="s">
        <v>116</v>
      </c>
      <c r="C11" s="273"/>
      <c r="D11" s="273"/>
      <c r="E11" s="273"/>
      <c r="F11" s="273"/>
      <c r="G11" s="273"/>
      <c r="H11" s="273"/>
      <c r="I11" s="273"/>
    </row>
    <row r="12">
      <c r="A12" s="273"/>
      <c r="B12" s="272" t="s">
        <v>117</v>
      </c>
      <c r="C12" s="273"/>
      <c r="D12" s="273"/>
      <c r="E12" s="273"/>
      <c r="F12" s="273"/>
      <c r="G12" s="273"/>
      <c r="H12" s="273"/>
      <c r="I12" s="273"/>
    </row>
    <row r="13">
      <c r="A13" s="273"/>
      <c r="B13" s="272" t="s">
        <v>118</v>
      </c>
      <c r="C13" s="273"/>
      <c r="D13" s="273"/>
      <c r="E13" s="273"/>
      <c r="F13" s="273"/>
      <c r="G13" s="273"/>
      <c r="H13" s="273"/>
      <c r="I13" s="273"/>
    </row>
    <row r="14">
      <c r="A14" s="273"/>
      <c r="B14" s="272" t="s">
        <v>119</v>
      </c>
      <c r="C14" s="273"/>
      <c r="D14" s="273"/>
      <c r="E14" s="273"/>
      <c r="F14" s="273"/>
      <c r="G14" s="273"/>
      <c r="H14" s="273"/>
      <c r="I14" s="273"/>
    </row>
    <row r="15">
      <c r="A15" s="273"/>
      <c r="B15" s="272" t="s">
        <v>120</v>
      </c>
      <c r="C15" s="273"/>
      <c r="D15" s="273"/>
      <c r="E15" s="273"/>
      <c r="F15" s="273"/>
      <c r="G15" s="273"/>
      <c r="H15" s="273"/>
      <c r="I15" s="273"/>
    </row>
    <row r="16">
      <c r="A16" s="273"/>
      <c r="B16" s="272" t="s">
        <v>121</v>
      </c>
      <c r="C16" s="273"/>
      <c r="D16" s="273"/>
      <c r="E16" s="273"/>
      <c r="F16" s="273"/>
      <c r="G16" s="273"/>
      <c r="H16" s="273"/>
      <c r="I16" s="273"/>
    </row>
    <row r="17">
      <c r="A17" s="273"/>
      <c r="B17" s="272" t="s">
        <v>122</v>
      </c>
      <c r="C17" s="273"/>
      <c r="D17" s="273"/>
      <c r="E17" s="273"/>
      <c r="F17" s="273"/>
      <c r="G17" s="273"/>
      <c r="H17" s="273"/>
      <c r="I17" s="273"/>
    </row>
    <row r="18">
      <c r="A18" s="273"/>
      <c r="B18" s="272" t="s">
        <v>123</v>
      </c>
      <c r="C18" s="273"/>
      <c r="D18" s="273"/>
      <c r="E18" s="273"/>
      <c r="F18" s="273"/>
      <c r="G18" s="273"/>
      <c r="H18" s="273"/>
      <c r="I18" s="273"/>
    </row>
    <row r="19">
      <c r="A19" s="273"/>
      <c r="B19" s="272" t="s">
        <v>124</v>
      </c>
      <c r="C19" s="273"/>
      <c r="D19" s="273"/>
      <c r="E19" s="273"/>
      <c r="F19" s="273"/>
      <c r="G19" s="273"/>
      <c r="H19" s="273"/>
      <c r="I19" s="273"/>
    </row>
    <row r="20">
      <c r="A20" s="273"/>
      <c r="B20" s="272" t="s">
        <v>125</v>
      </c>
      <c r="C20" s="273"/>
      <c r="D20" s="273"/>
      <c r="E20" s="273"/>
      <c r="F20" s="273"/>
      <c r="G20" s="273"/>
      <c r="H20" s="273"/>
      <c r="I20" s="273"/>
    </row>
    <row r="21">
      <c r="A21" s="273"/>
      <c r="B21" s="272" t="s">
        <v>86</v>
      </c>
      <c r="C21" s="273"/>
      <c r="D21" s="273"/>
      <c r="E21" s="273"/>
      <c r="F21" s="273"/>
      <c r="G21" s="273"/>
      <c r="H21" s="273"/>
      <c r="I21" s="273"/>
    </row>
    <row r="22">
      <c r="A22" s="273"/>
      <c r="B22" s="272" t="s">
        <v>126</v>
      </c>
      <c r="C22" s="273"/>
      <c r="D22" s="273"/>
      <c r="E22" s="273"/>
      <c r="F22" s="273"/>
      <c r="G22" s="273"/>
      <c r="H22" s="273"/>
      <c r="I22" s="273"/>
    </row>
    <row r="23">
      <c r="A23" s="273"/>
      <c r="B23" s="272" t="s">
        <v>127</v>
      </c>
      <c r="C23" s="273"/>
      <c r="D23" s="273"/>
      <c r="E23" s="273"/>
      <c r="F23" s="273"/>
      <c r="G23" s="273"/>
      <c r="H23" s="273"/>
      <c r="I23" s="273"/>
    </row>
    <row r="24">
      <c r="A24" s="273"/>
      <c r="B24" s="272" t="s">
        <v>128</v>
      </c>
      <c r="C24" s="273"/>
      <c r="D24" s="273"/>
      <c r="E24" s="273"/>
      <c r="F24" s="273"/>
      <c r="G24" s="273"/>
      <c r="H24" s="273"/>
      <c r="I24" s="273"/>
    </row>
    <row r="25">
      <c r="A25" s="273"/>
      <c r="B25" s="272" t="s">
        <v>129</v>
      </c>
      <c r="C25" s="273"/>
      <c r="D25" s="273"/>
      <c r="E25" s="273"/>
      <c r="F25" s="273"/>
      <c r="G25" s="273"/>
      <c r="H25" s="273"/>
      <c r="I25" s="273"/>
    </row>
    <row r="26">
      <c r="A26" s="273"/>
      <c r="B26" s="272" t="s">
        <v>130</v>
      </c>
      <c r="C26" s="273"/>
      <c r="D26" s="273"/>
      <c r="E26" s="273"/>
      <c r="F26" s="273"/>
      <c r="G26" s="273"/>
      <c r="H26" s="273"/>
      <c r="I26" s="273"/>
    </row>
    <row r="27">
      <c r="A27" s="273"/>
      <c r="B27" s="272" t="s">
        <v>131</v>
      </c>
      <c r="C27" s="273"/>
      <c r="D27" s="273"/>
      <c r="E27" s="273"/>
      <c r="F27" s="273"/>
      <c r="G27" s="273"/>
      <c r="H27" s="273"/>
      <c r="I27" s="273"/>
    </row>
    <row r="28">
      <c r="A28" s="273"/>
      <c r="B28" s="272" t="s">
        <v>132</v>
      </c>
      <c r="C28" s="273"/>
      <c r="D28" s="273"/>
      <c r="E28" s="273"/>
      <c r="F28" s="273"/>
      <c r="G28" s="273"/>
      <c r="H28" s="273"/>
      <c r="I28" s="273"/>
    </row>
    <row r="29">
      <c r="A29" s="273"/>
      <c r="B29" s="273"/>
      <c r="C29" s="272" t="s">
        <v>82</v>
      </c>
      <c r="D29" s="273"/>
      <c r="E29" s="273"/>
      <c r="F29" s="273"/>
      <c r="G29" s="273"/>
      <c r="H29" s="273"/>
      <c r="I29" s="273"/>
    </row>
    <row r="30">
      <c r="A30" s="273"/>
      <c r="B30" s="273"/>
      <c r="C30" s="272" t="s">
        <v>133</v>
      </c>
      <c r="D30" s="273"/>
      <c r="E30" s="273"/>
      <c r="F30" s="273"/>
      <c r="G30" s="273"/>
      <c r="H30" s="273"/>
      <c r="I30" s="273"/>
    </row>
    <row r="31">
      <c r="A31" s="273"/>
      <c r="B31" s="273"/>
      <c r="C31" s="272" t="s">
        <v>134</v>
      </c>
      <c r="D31" s="273"/>
      <c r="E31" s="273"/>
      <c r="F31" s="273"/>
      <c r="G31" s="273"/>
      <c r="H31" s="273"/>
      <c r="I31" s="273"/>
    </row>
    <row r="32">
      <c r="A32" s="273"/>
      <c r="B32" s="273"/>
      <c r="C32" s="272" t="s">
        <v>135</v>
      </c>
      <c r="D32" s="273"/>
      <c r="E32" s="273"/>
      <c r="F32" s="273"/>
      <c r="G32" s="273"/>
      <c r="H32" s="273"/>
      <c r="I32" s="273"/>
    </row>
    <row r="33">
      <c r="A33" s="273"/>
      <c r="B33" s="273"/>
      <c r="C33" s="272" t="s">
        <v>136</v>
      </c>
      <c r="D33" s="273"/>
      <c r="E33" s="273"/>
      <c r="F33" s="273"/>
      <c r="G33" s="273"/>
      <c r="H33" s="273"/>
      <c r="I33" s="273"/>
    </row>
    <row r="34">
      <c r="A34" s="273"/>
      <c r="B34" s="273"/>
      <c r="C34" s="272" t="s">
        <v>137</v>
      </c>
      <c r="D34" s="273"/>
      <c r="E34" s="273"/>
      <c r="F34" s="273"/>
      <c r="G34" s="273"/>
      <c r="H34" s="273"/>
      <c r="I34" s="273"/>
    </row>
    <row r="35">
      <c r="A35" s="273"/>
      <c r="B35" s="273"/>
      <c r="C35" s="272" t="s">
        <v>138</v>
      </c>
      <c r="D35" s="273"/>
      <c r="E35" s="273"/>
      <c r="F35" s="273"/>
      <c r="G35" s="273"/>
      <c r="H35" s="273"/>
      <c r="I35" s="273"/>
    </row>
    <row r="36">
      <c r="A36" s="273"/>
      <c r="B36" s="273"/>
      <c r="C36" s="272" t="s">
        <v>139</v>
      </c>
      <c r="D36" s="273"/>
      <c r="E36" s="273"/>
      <c r="F36" s="273"/>
      <c r="G36" s="273"/>
      <c r="H36" s="273"/>
      <c r="I36" s="273"/>
    </row>
    <row r="37">
      <c r="A37" s="273"/>
      <c r="B37" s="273"/>
      <c r="C37" s="272" t="s">
        <v>140</v>
      </c>
      <c r="D37" s="273"/>
      <c r="E37" s="273"/>
      <c r="F37" s="273"/>
      <c r="G37" s="273"/>
      <c r="H37" s="273"/>
      <c r="I37" s="273"/>
    </row>
    <row r="38">
      <c r="A38" s="273"/>
      <c r="B38" s="273"/>
      <c r="C38" s="272" t="s">
        <v>141</v>
      </c>
      <c r="D38" s="273"/>
      <c r="E38" s="273"/>
      <c r="F38" s="273"/>
      <c r="G38" s="273"/>
      <c r="H38" s="273"/>
      <c r="I38" s="273"/>
    </row>
    <row r="39">
      <c r="A39" s="273"/>
      <c r="B39" s="273"/>
      <c r="C39" s="272" t="s">
        <v>142</v>
      </c>
      <c r="D39" s="273"/>
      <c r="E39" s="273"/>
      <c r="F39" s="273"/>
      <c r="G39" s="273"/>
      <c r="H39" s="273"/>
      <c r="I39" s="273"/>
    </row>
    <row r="40">
      <c r="A40" s="273"/>
      <c r="B40" s="273"/>
      <c r="C40" s="272" t="s">
        <v>143</v>
      </c>
      <c r="D40" s="273"/>
      <c r="E40" s="273"/>
      <c r="F40" s="273"/>
      <c r="G40" s="273"/>
      <c r="H40" s="273"/>
      <c r="I40" s="273"/>
    </row>
    <row r="41">
      <c r="A41" s="273"/>
      <c r="B41" s="273"/>
      <c r="C41" s="272" t="s">
        <v>144</v>
      </c>
      <c r="D41" s="273"/>
      <c r="E41" s="273"/>
      <c r="F41" s="273"/>
      <c r="G41" s="273"/>
      <c r="H41" s="273"/>
      <c r="I41" s="273"/>
    </row>
    <row r="42">
      <c r="A42" s="273"/>
      <c r="B42" s="273"/>
      <c r="C42" s="272" t="s">
        <v>145</v>
      </c>
      <c r="D42" s="273"/>
      <c r="E42" s="273"/>
      <c r="F42" s="273"/>
      <c r="G42" s="273"/>
      <c r="H42" s="273"/>
      <c r="I42" s="273"/>
    </row>
    <row r="43">
      <c r="A43" s="273"/>
      <c r="B43" s="273"/>
      <c r="C43" s="272" t="s">
        <v>146</v>
      </c>
      <c r="D43" s="273"/>
      <c r="E43" s="273"/>
      <c r="F43" s="273"/>
      <c r="G43" s="273"/>
      <c r="H43" s="273"/>
      <c r="I43" s="273"/>
    </row>
    <row r="44">
      <c r="A44" s="273"/>
      <c r="B44" s="273"/>
      <c r="C44" s="272" t="s">
        <v>147</v>
      </c>
      <c r="D44" s="273"/>
      <c r="E44" s="273"/>
      <c r="F44" s="273"/>
      <c r="G44" s="273"/>
      <c r="H44" s="273"/>
      <c r="I44" s="273"/>
    </row>
    <row r="45">
      <c r="A45" s="273"/>
      <c r="B45" s="273"/>
      <c r="C45" s="272" t="s">
        <v>148</v>
      </c>
      <c r="D45" s="273"/>
      <c r="E45" s="273"/>
      <c r="F45" s="273"/>
      <c r="G45" s="273"/>
      <c r="H45" s="273"/>
      <c r="I45" s="273"/>
    </row>
    <row r="46">
      <c r="A46" s="273"/>
      <c r="B46" s="273"/>
      <c r="C46" s="272" t="s">
        <v>149</v>
      </c>
      <c r="D46" s="273"/>
      <c r="E46" s="273"/>
      <c r="F46" s="273"/>
      <c r="G46" s="273"/>
      <c r="H46" s="273"/>
      <c r="I46" s="273"/>
    </row>
    <row r="47">
      <c r="A47" s="273"/>
      <c r="B47" s="273"/>
      <c r="C47" s="272" t="s">
        <v>150</v>
      </c>
      <c r="D47" s="273"/>
      <c r="E47" s="273"/>
      <c r="F47" s="273"/>
      <c r="G47" s="273"/>
      <c r="H47" s="273"/>
      <c r="I47" s="273"/>
    </row>
    <row r="48">
      <c r="A48" s="273"/>
      <c r="B48" s="273"/>
      <c r="C48" s="272" t="s">
        <v>151</v>
      </c>
      <c r="D48" s="273"/>
      <c r="E48" s="273"/>
      <c r="F48" s="273"/>
      <c r="G48" s="273"/>
      <c r="H48" s="273"/>
      <c r="I48" s="273"/>
    </row>
    <row r="49">
      <c r="A49" s="273"/>
      <c r="B49" s="273"/>
      <c r="C49" s="272" t="s">
        <v>152</v>
      </c>
      <c r="D49" s="273"/>
      <c r="E49" s="273"/>
      <c r="F49" s="273"/>
      <c r="G49" s="273"/>
      <c r="H49" s="273"/>
      <c r="I49" s="273"/>
    </row>
    <row r="50">
      <c r="A50" s="273"/>
      <c r="B50" s="273"/>
      <c r="C50" s="272" t="s">
        <v>153</v>
      </c>
      <c r="D50" s="273"/>
      <c r="E50" s="273"/>
      <c r="F50" s="273"/>
      <c r="G50" s="273"/>
      <c r="H50" s="273"/>
      <c r="I50" s="273"/>
    </row>
    <row r="51">
      <c r="A51" s="273"/>
      <c r="B51" s="273"/>
      <c r="C51" s="272" t="s">
        <v>154</v>
      </c>
      <c r="D51" s="273"/>
      <c r="E51" s="273"/>
      <c r="F51" s="273"/>
      <c r="G51" s="273"/>
      <c r="H51" s="273"/>
      <c r="I51" s="273"/>
    </row>
    <row r="52">
      <c r="A52" s="273"/>
      <c r="B52" s="273"/>
      <c r="C52" s="272" t="s">
        <v>155</v>
      </c>
      <c r="D52" s="273"/>
      <c r="E52" s="273"/>
      <c r="F52" s="273"/>
      <c r="G52" s="273"/>
      <c r="H52" s="273"/>
      <c r="I52" s="273"/>
    </row>
    <row r="53">
      <c r="A53" s="273"/>
      <c r="B53" s="273"/>
      <c r="C53" s="272" t="s">
        <v>156</v>
      </c>
      <c r="D53" s="273"/>
      <c r="E53" s="273"/>
      <c r="F53" s="273"/>
      <c r="G53" s="273"/>
      <c r="H53" s="273"/>
      <c r="I53" s="273"/>
    </row>
    <row r="54">
      <c r="A54" s="273"/>
      <c r="B54" s="273"/>
      <c r="C54" s="272" t="s">
        <v>157</v>
      </c>
      <c r="D54" s="273"/>
      <c r="E54" s="273"/>
      <c r="F54" s="273"/>
      <c r="G54" s="273"/>
      <c r="H54" s="273"/>
      <c r="I54" s="273"/>
    </row>
    <row r="55">
      <c r="A55" s="273"/>
      <c r="B55" s="273"/>
      <c r="C55" s="272" t="s">
        <v>158</v>
      </c>
      <c r="D55" s="273"/>
      <c r="E55" s="273"/>
      <c r="F55" s="273"/>
      <c r="G55" s="273"/>
      <c r="H55" s="273"/>
      <c r="I55" s="273"/>
    </row>
    <row r="56">
      <c r="A56" s="273"/>
      <c r="B56" s="273"/>
      <c r="C56" s="272" t="s">
        <v>159</v>
      </c>
      <c r="D56" s="273"/>
      <c r="E56" s="273"/>
      <c r="F56" s="273"/>
      <c r="G56" s="273"/>
      <c r="H56" s="273"/>
      <c r="I56" s="273"/>
    </row>
    <row r="57">
      <c r="A57" s="273"/>
      <c r="B57" s="273"/>
      <c r="C57" s="272" t="s">
        <v>160</v>
      </c>
      <c r="D57" s="273"/>
      <c r="E57" s="273"/>
      <c r="F57" s="273"/>
      <c r="G57" s="273"/>
      <c r="H57" s="273"/>
      <c r="I57" s="273"/>
    </row>
    <row r="58">
      <c r="A58" s="273"/>
      <c r="B58" s="273"/>
      <c r="C58" s="272" t="s">
        <v>161</v>
      </c>
      <c r="D58" s="273"/>
      <c r="E58" s="273"/>
      <c r="F58" s="273"/>
      <c r="G58" s="273"/>
      <c r="H58" s="273"/>
      <c r="I58" s="273"/>
    </row>
    <row r="59">
      <c r="A59" s="273"/>
      <c r="B59" s="273"/>
      <c r="C59" s="272" t="s">
        <v>162</v>
      </c>
      <c r="D59" s="273"/>
      <c r="E59" s="273"/>
      <c r="F59" s="273"/>
      <c r="G59" s="273"/>
      <c r="H59" s="273"/>
      <c r="I59" s="273"/>
    </row>
    <row r="60">
      <c r="A60" s="273"/>
      <c r="B60" s="273"/>
      <c r="C60" s="272" t="s">
        <v>163</v>
      </c>
      <c r="D60" s="273"/>
      <c r="E60" s="273"/>
      <c r="F60" s="273"/>
      <c r="G60" s="273"/>
      <c r="H60" s="273"/>
      <c r="I60" s="273"/>
    </row>
    <row r="61">
      <c r="A61" s="273"/>
      <c r="B61" s="273"/>
      <c r="C61" s="272" t="s">
        <v>164</v>
      </c>
      <c r="D61" s="273"/>
      <c r="E61" s="273"/>
      <c r="F61" s="273"/>
      <c r="G61" s="273"/>
      <c r="H61" s="273"/>
      <c r="I61" s="273"/>
    </row>
    <row r="62">
      <c r="A62" s="273"/>
      <c r="B62" s="273"/>
      <c r="C62" s="272" t="s">
        <v>165</v>
      </c>
      <c r="D62" s="273"/>
      <c r="E62" s="273"/>
      <c r="F62" s="273"/>
      <c r="G62" s="273"/>
      <c r="H62" s="273"/>
      <c r="I62" s="273"/>
    </row>
    <row r="63">
      <c r="A63" s="273"/>
      <c r="B63" s="273"/>
      <c r="C63" s="272" t="s">
        <v>166</v>
      </c>
      <c r="D63" s="273"/>
      <c r="E63" s="273"/>
      <c r="F63" s="273"/>
      <c r="G63" s="273"/>
      <c r="H63" s="273"/>
      <c r="I63" s="273"/>
    </row>
    <row r="64">
      <c r="A64" s="273"/>
      <c r="B64" s="273"/>
      <c r="C64" s="272" t="s">
        <v>167</v>
      </c>
      <c r="D64" s="273"/>
      <c r="E64" s="273"/>
      <c r="F64" s="273"/>
      <c r="G64" s="273"/>
      <c r="H64" s="273"/>
      <c r="I64" s="273"/>
    </row>
    <row r="65">
      <c r="A65" s="273"/>
      <c r="B65" s="273"/>
      <c r="C65" s="272" t="s">
        <v>168</v>
      </c>
      <c r="D65" s="273"/>
      <c r="E65" s="273"/>
      <c r="F65" s="273"/>
      <c r="G65" s="273"/>
      <c r="H65" s="273"/>
      <c r="I65" s="273"/>
    </row>
    <row r="66">
      <c r="A66" s="273"/>
      <c r="B66" s="273"/>
      <c r="C66" s="272" t="s">
        <v>169</v>
      </c>
      <c r="D66" s="273"/>
      <c r="E66" s="273"/>
      <c r="F66" s="273"/>
      <c r="G66" s="273"/>
      <c r="H66" s="273"/>
      <c r="I66" s="273"/>
    </row>
    <row r="67">
      <c r="A67" s="273"/>
      <c r="B67" s="273"/>
      <c r="C67" s="272" t="s">
        <v>170</v>
      </c>
      <c r="D67" s="273"/>
      <c r="E67" s="273"/>
      <c r="F67" s="273"/>
      <c r="G67" s="273"/>
      <c r="H67" s="273"/>
      <c r="I67" s="273"/>
    </row>
    <row r="68">
      <c r="A68" s="273"/>
      <c r="B68" s="273"/>
      <c r="C68" s="272" t="s">
        <v>171</v>
      </c>
      <c r="D68" s="273"/>
      <c r="E68" s="273"/>
      <c r="F68" s="273"/>
      <c r="G68" s="273"/>
      <c r="H68" s="273"/>
      <c r="I68" s="273"/>
    </row>
    <row r="69">
      <c r="A69" s="273"/>
      <c r="B69" s="273"/>
      <c r="C69" s="272" t="s">
        <v>172</v>
      </c>
      <c r="D69" s="273"/>
      <c r="E69" s="273"/>
      <c r="F69" s="273"/>
      <c r="G69" s="273"/>
      <c r="H69" s="273"/>
      <c r="I69" s="273"/>
    </row>
    <row r="70">
      <c r="A70" s="273"/>
      <c r="B70" s="273"/>
      <c r="C70" s="272" t="s">
        <v>173</v>
      </c>
      <c r="D70" s="273"/>
      <c r="E70" s="273"/>
      <c r="F70" s="273"/>
      <c r="G70" s="273"/>
      <c r="H70" s="273"/>
      <c r="I70" s="273"/>
    </row>
    <row r="71">
      <c r="A71" s="273"/>
      <c r="B71" s="273"/>
      <c r="C71" s="272" t="s">
        <v>174</v>
      </c>
      <c r="D71" s="273"/>
      <c r="E71" s="273"/>
      <c r="F71" s="273"/>
      <c r="G71" s="273"/>
      <c r="H71" s="273"/>
      <c r="I71" s="273"/>
    </row>
    <row r="72">
      <c r="A72" s="273"/>
      <c r="B72" s="273"/>
      <c r="C72" s="272" t="s">
        <v>175</v>
      </c>
      <c r="D72" s="273"/>
      <c r="E72" s="273"/>
      <c r="F72" s="273"/>
      <c r="G72" s="273"/>
      <c r="H72" s="273"/>
      <c r="I72" s="273"/>
    </row>
    <row r="73">
      <c r="A73" s="273"/>
      <c r="B73" s="273"/>
      <c r="C73" s="272" t="s">
        <v>176</v>
      </c>
      <c r="D73" s="273"/>
      <c r="E73" s="273"/>
      <c r="F73" s="273"/>
      <c r="G73" s="273"/>
      <c r="H73" s="273"/>
      <c r="I73" s="273"/>
    </row>
    <row r="74">
      <c r="A74" s="273"/>
      <c r="B74" s="273"/>
      <c r="C74" s="272" t="s">
        <v>177</v>
      </c>
      <c r="D74" s="273"/>
      <c r="E74" s="273"/>
      <c r="F74" s="273"/>
      <c r="G74" s="273"/>
      <c r="H74" s="273"/>
      <c r="I74" s="273"/>
    </row>
    <row r="75">
      <c r="A75" s="273"/>
      <c r="B75" s="273"/>
      <c r="C75" s="272" t="s">
        <v>178</v>
      </c>
      <c r="D75" s="273"/>
      <c r="E75" s="273"/>
      <c r="F75" s="273"/>
      <c r="G75" s="273"/>
      <c r="H75" s="273"/>
      <c r="I75" s="273"/>
    </row>
    <row r="76">
      <c r="A76" s="273"/>
      <c r="B76" s="273"/>
      <c r="C76" s="272" t="s">
        <v>179</v>
      </c>
      <c r="D76" s="273"/>
      <c r="E76" s="273"/>
      <c r="F76" s="273"/>
      <c r="G76" s="273"/>
      <c r="H76" s="273"/>
      <c r="I76" s="273"/>
    </row>
    <row r="77">
      <c r="A77" s="273"/>
      <c r="B77" s="273"/>
      <c r="C77" s="272" t="s">
        <v>180</v>
      </c>
      <c r="D77" s="273"/>
      <c r="E77" s="273"/>
      <c r="F77" s="273"/>
      <c r="G77" s="273"/>
      <c r="H77" s="273"/>
      <c r="I77" s="273"/>
    </row>
    <row r="78">
      <c r="A78" s="273"/>
      <c r="B78" s="273"/>
      <c r="C78" s="272" t="s">
        <v>181</v>
      </c>
      <c r="D78" s="273"/>
      <c r="E78" s="273"/>
      <c r="F78" s="273"/>
      <c r="G78" s="273"/>
      <c r="H78" s="273"/>
      <c r="I78" s="273"/>
    </row>
    <row r="79">
      <c r="A79" s="273"/>
      <c r="B79" s="273"/>
      <c r="C79" s="272" t="s">
        <v>182</v>
      </c>
      <c r="D79" s="273"/>
      <c r="E79" s="273"/>
      <c r="F79" s="273"/>
      <c r="G79" s="273"/>
      <c r="H79" s="273"/>
      <c r="I79" s="273"/>
    </row>
    <row r="80">
      <c r="A80" s="273"/>
      <c r="B80" s="273"/>
      <c r="C80" s="272" t="s">
        <v>183</v>
      </c>
      <c r="D80" s="273"/>
      <c r="E80" s="273"/>
      <c r="F80" s="273"/>
      <c r="G80" s="273"/>
      <c r="H80" s="273"/>
      <c r="I80" s="273"/>
    </row>
    <row r="81">
      <c r="A81" s="273"/>
      <c r="B81" s="273"/>
      <c r="C81" s="272" t="s">
        <v>184</v>
      </c>
      <c r="D81" s="273"/>
      <c r="E81" s="273"/>
      <c r="F81" s="273"/>
      <c r="G81" s="273"/>
      <c r="H81" s="273"/>
      <c r="I81" s="273"/>
    </row>
    <row r="82">
      <c r="A82" s="273"/>
      <c r="B82" s="273"/>
      <c r="C82" s="272" t="s">
        <v>185</v>
      </c>
      <c r="D82" s="273"/>
      <c r="E82" s="273"/>
      <c r="F82" s="273"/>
      <c r="G82" s="273"/>
      <c r="H82" s="273"/>
      <c r="I82" s="273"/>
    </row>
    <row r="83">
      <c r="A83" s="273"/>
      <c r="B83" s="273"/>
      <c r="C83" s="272" t="s">
        <v>186</v>
      </c>
      <c r="D83" s="273"/>
      <c r="E83" s="273"/>
      <c r="F83" s="273"/>
      <c r="G83" s="273"/>
      <c r="H83" s="273"/>
      <c r="I83" s="273"/>
    </row>
    <row r="84">
      <c r="A84" s="273"/>
      <c r="B84" s="273"/>
      <c r="C84" s="272" t="s">
        <v>187</v>
      </c>
      <c r="D84" s="273"/>
      <c r="E84" s="273"/>
      <c r="F84" s="273"/>
      <c r="G84" s="273"/>
      <c r="H84" s="273"/>
      <c r="I84" s="273"/>
    </row>
    <row r="85">
      <c r="A85" s="273"/>
      <c r="B85" s="273"/>
      <c r="C85" s="272" t="s">
        <v>74</v>
      </c>
      <c r="D85" s="273"/>
      <c r="E85" s="273"/>
      <c r="F85" s="273"/>
      <c r="G85" s="273"/>
      <c r="H85" s="273"/>
      <c r="I85" s="273"/>
    </row>
    <row r="86">
      <c r="A86" s="273"/>
      <c r="B86" s="273"/>
      <c r="C86" s="272" t="s">
        <v>188</v>
      </c>
      <c r="D86" s="273"/>
      <c r="E86" s="273"/>
      <c r="F86" s="273"/>
      <c r="G86" s="273"/>
      <c r="H86" s="273"/>
      <c r="I86" s="273"/>
    </row>
    <row r="87">
      <c r="A87" s="273"/>
      <c r="B87" s="273"/>
      <c r="C87" s="272" t="s">
        <v>189</v>
      </c>
      <c r="D87" s="273"/>
      <c r="E87" s="273"/>
      <c r="F87" s="273"/>
      <c r="G87" s="273"/>
      <c r="H87" s="273"/>
      <c r="I87" s="273"/>
    </row>
    <row r="88">
      <c r="A88" s="273"/>
      <c r="B88" s="273"/>
      <c r="C88" s="272" t="s">
        <v>190</v>
      </c>
      <c r="D88" s="273"/>
      <c r="E88" s="273"/>
      <c r="F88" s="273"/>
      <c r="G88" s="273"/>
      <c r="H88" s="273"/>
      <c r="I88" s="273"/>
    </row>
    <row r="89">
      <c r="A89" s="273"/>
      <c r="B89" s="273"/>
      <c r="C89" s="272" t="s">
        <v>191</v>
      </c>
      <c r="D89" s="273"/>
      <c r="E89" s="273"/>
      <c r="F89" s="273"/>
      <c r="G89" s="273"/>
      <c r="H89" s="273"/>
      <c r="I89" s="273"/>
    </row>
    <row r="90">
      <c r="A90" s="273"/>
      <c r="B90" s="273"/>
      <c r="C90" s="272" t="s">
        <v>192</v>
      </c>
      <c r="D90" s="273"/>
      <c r="E90" s="273"/>
      <c r="F90" s="273"/>
      <c r="G90" s="273"/>
      <c r="H90" s="273"/>
      <c r="I90" s="273"/>
    </row>
    <row r="91">
      <c r="A91" s="273"/>
      <c r="B91" s="273"/>
      <c r="C91" s="272" t="s">
        <v>193</v>
      </c>
      <c r="D91" s="273"/>
      <c r="E91" s="273"/>
      <c r="F91" s="273"/>
      <c r="G91" s="273"/>
      <c r="H91" s="273"/>
      <c r="I91" s="273"/>
    </row>
    <row r="92">
      <c r="A92" s="273"/>
      <c r="B92" s="273"/>
      <c r="C92" s="272" t="s">
        <v>194</v>
      </c>
      <c r="D92" s="273"/>
      <c r="E92" s="273"/>
      <c r="F92" s="273"/>
      <c r="G92" s="273"/>
      <c r="H92" s="273"/>
      <c r="I92" s="273"/>
    </row>
    <row r="93">
      <c r="A93" s="273"/>
      <c r="B93" s="273"/>
      <c r="C93" s="272" t="s">
        <v>195</v>
      </c>
      <c r="D93" s="273"/>
      <c r="E93" s="273"/>
      <c r="F93" s="273"/>
      <c r="G93" s="273"/>
      <c r="H93" s="273"/>
      <c r="I93" s="273"/>
    </row>
    <row r="94">
      <c r="A94" s="273"/>
      <c r="B94" s="273"/>
      <c r="C94" s="272" t="s">
        <v>196</v>
      </c>
      <c r="D94" s="273"/>
      <c r="E94" s="273"/>
      <c r="F94" s="273"/>
      <c r="G94" s="273"/>
      <c r="H94" s="273"/>
      <c r="I94" s="273"/>
    </row>
    <row r="95">
      <c r="A95" s="273"/>
      <c r="B95" s="273"/>
      <c r="C95" s="272" t="s">
        <v>197</v>
      </c>
      <c r="D95" s="273"/>
      <c r="E95" s="273"/>
      <c r="F95" s="273"/>
      <c r="G95" s="273"/>
      <c r="H95" s="273"/>
      <c r="I95" s="273"/>
    </row>
    <row r="96">
      <c r="A96" s="273"/>
      <c r="B96" s="273"/>
      <c r="C96" s="272" t="s">
        <v>198</v>
      </c>
      <c r="D96" s="273"/>
      <c r="E96" s="273"/>
      <c r="F96" s="273"/>
      <c r="G96" s="273"/>
      <c r="H96" s="273"/>
      <c r="I96" s="273"/>
    </row>
    <row r="97">
      <c r="A97" s="273"/>
      <c r="B97" s="273"/>
      <c r="C97" s="272" t="s">
        <v>199</v>
      </c>
      <c r="D97" s="273"/>
      <c r="E97" s="273"/>
      <c r="F97" s="273"/>
      <c r="G97" s="273"/>
      <c r="H97" s="273"/>
      <c r="I97" s="273"/>
    </row>
    <row r="98">
      <c r="A98" s="273"/>
      <c r="B98" s="273"/>
      <c r="C98" s="272" t="s">
        <v>200</v>
      </c>
      <c r="D98" s="273"/>
      <c r="E98" s="273"/>
      <c r="F98" s="273"/>
      <c r="G98" s="273"/>
      <c r="H98" s="273"/>
      <c r="I98" s="273"/>
    </row>
    <row r="99">
      <c r="A99" s="273"/>
      <c r="B99" s="273"/>
      <c r="C99" s="272" t="s">
        <v>201</v>
      </c>
      <c r="D99" s="273"/>
      <c r="E99" s="273"/>
      <c r="F99" s="273"/>
      <c r="G99" s="273"/>
      <c r="H99" s="273"/>
      <c r="I99" s="273"/>
    </row>
    <row r="100">
      <c r="A100" s="273"/>
      <c r="B100" s="273"/>
      <c r="C100" s="272" t="s">
        <v>202</v>
      </c>
      <c r="D100" s="273"/>
      <c r="E100" s="273"/>
      <c r="F100" s="273"/>
      <c r="G100" s="273"/>
      <c r="H100" s="273"/>
      <c r="I100" s="273"/>
    </row>
    <row r="101">
      <c r="A101" s="273"/>
      <c r="B101" s="273"/>
      <c r="C101" s="272" t="s">
        <v>203</v>
      </c>
      <c r="D101" s="273"/>
      <c r="E101" s="273"/>
      <c r="F101" s="273"/>
      <c r="G101" s="273"/>
      <c r="H101" s="273"/>
      <c r="I101" s="273"/>
    </row>
    <row r="102">
      <c r="A102" s="273"/>
      <c r="B102" s="273"/>
      <c r="C102" s="272" t="s">
        <v>204</v>
      </c>
      <c r="D102" s="273"/>
      <c r="E102" s="273"/>
      <c r="F102" s="273"/>
      <c r="G102" s="273"/>
      <c r="H102" s="273"/>
      <c r="I102" s="273"/>
    </row>
    <row r="103">
      <c r="A103" s="273"/>
      <c r="B103" s="273"/>
      <c r="C103" s="272" t="s">
        <v>205</v>
      </c>
      <c r="D103" s="273"/>
      <c r="E103" s="273"/>
      <c r="F103" s="273"/>
      <c r="G103" s="273"/>
      <c r="H103" s="273"/>
      <c r="I103" s="273"/>
    </row>
    <row r="104">
      <c r="A104" s="273"/>
      <c r="B104" s="273"/>
      <c r="C104" s="272" t="s">
        <v>206</v>
      </c>
      <c r="D104" s="273"/>
      <c r="E104" s="273"/>
      <c r="F104" s="273"/>
      <c r="G104" s="273"/>
      <c r="H104" s="273"/>
      <c r="I104" s="273"/>
    </row>
    <row r="105">
      <c r="A105" s="273"/>
      <c r="B105" s="273"/>
      <c r="C105" s="273"/>
      <c r="D105" s="273"/>
      <c r="E105" s="273"/>
      <c r="F105" s="273"/>
      <c r="G105" s="273"/>
      <c r="H105" s="273"/>
      <c r="I105" s="273"/>
    </row>
    <row r="106">
      <c r="A106" s="273"/>
      <c r="B106" s="273"/>
      <c r="C106" s="273"/>
      <c r="D106" s="273"/>
      <c r="E106" s="273"/>
      <c r="F106" s="273"/>
      <c r="G106" s="273"/>
      <c r="H106" s="273"/>
      <c r="I106" s="273"/>
    </row>
    <row r="107">
      <c r="A107" s="273"/>
      <c r="B107" s="273"/>
      <c r="C107" s="273"/>
      <c r="D107" s="273"/>
      <c r="E107" s="273"/>
      <c r="F107" s="273"/>
      <c r="G107" s="273"/>
      <c r="H107" s="273"/>
      <c r="I107" s="273"/>
    </row>
    <row r="108">
      <c r="A108" s="273"/>
      <c r="B108" s="273"/>
      <c r="C108" s="273"/>
      <c r="D108" s="273"/>
      <c r="E108" s="273"/>
      <c r="F108" s="273"/>
      <c r="G108" s="273"/>
      <c r="H108" s="273"/>
      <c r="I108" s="273"/>
    </row>
    <row r="109">
      <c r="A109" s="273"/>
      <c r="B109" s="273"/>
      <c r="C109" s="273"/>
      <c r="D109" s="273"/>
      <c r="E109" s="273"/>
      <c r="F109" s="273"/>
      <c r="G109" s="273"/>
      <c r="H109" s="273"/>
      <c r="I109" s="273"/>
    </row>
    <row r="110">
      <c r="A110" s="273"/>
      <c r="B110" s="273"/>
      <c r="C110" s="273"/>
      <c r="D110" s="273"/>
      <c r="E110" s="273"/>
      <c r="F110" s="273"/>
      <c r="G110" s="273"/>
      <c r="H110" s="273"/>
      <c r="I110" s="273"/>
    </row>
    <row r="111">
      <c r="A111" s="273"/>
      <c r="B111" s="273"/>
      <c r="C111" s="273"/>
      <c r="D111" s="273"/>
      <c r="E111" s="273"/>
      <c r="F111" s="273"/>
      <c r="G111" s="273"/>
      <c r="H111" s="273"/>
      <c r="I111" s="273"/>
    </row>
    <row r="112">
      <c r="A112" s="273"/>
      <c r="B112" s="273"/>
      <c r="C112" s="273"/>
      <c r="D112" s="273"/>
      <c r="E112" s="273"/>
      <c r="F112" s="273"/>
      <c r="G112" s="273"/>
      <c r="H112" s="273"/>
      <c r="I112" s="273"/>
    </row>
    <row r="113">
      <c r="A113" s="273"/>
      <c r="B113" s="273"/>
      <c r="C113" s="273"/>
      <c r="D113" s="273"/>
      <c r="E113" s="273"/>
      <c r="F113" s="273"/>
      <c r="G113" s="273"/>
      <c r="H113" s="273"/>
      <c r="I113" s="273"/>
    </row>
    <row r="114">
      <c r="A114" s="273"/>
      <c r="B114" s="273"/>
      <c r="C114" s="273"/>
      <c r="D114" s="273"/>
      <c r="E114" s="273"/>
      <c r="F114" s="273"/>
      <c r="G114" s="273"/>
      <c r="H114" s="273"/>
      <c r="I114" s="273"/>
    </row>
    <row r="115">
      <c r="A115" s="273"/>
      <c r="B115" s="273"/>
      <c r="C115" s="273"/>
      <c r="D115" s="273"/>
      <c r="E115" s="273"/>
      <c r="F115" s="273"/>
      <c r="G115" s="273"/>
      <c r="H115" s="273"/>
      <c r="I115" s="273"/>
    </row>
    <row r="116">
      <c r="A116" s="273"/>
      <c r="B116" s="273"/>
      <c r="C116" s="273"/>
      <c r="D116" s="273"/>
      <c r="E116" s="273"/>
      <c r="F116" s="273"/>
      <c r="G116" s="273"/>
      <c r="H116" s="273"/>
      <c r="I116" s="273"/>
    </row>
    <row r="117">
      <c r="A117" s="273"/>
      <c r="B117" s="273"/>
      <c r="C117" s="273"/>
      <c r="D117" s="273"/>
      <c r="E117" s="273"/>
      <c r="F117" s="273"/>
      <c r="G117" s="273"/>
      <c r="H117" s="273"/>
      <c r="I117" s="273"/>
    </row>
    <row r="118">
      <c r="A118" s="273"/>
      <c r="B118" s="273"/>
      <c r="C118" s="273"/>
      <c r="D118" s="273"/>
      <c r="E118" s="273"/>
      <c r="F118" s="273"/>
      <c r="G118" s="273"/>
      <c r="H118" s="273"/>
      <c r="I118" s="273"/>
    </row>
    <row r="119">
      <c r="A119" s="273"/>
      <c r="B119" s="273"/>
      <c r="C119" s="273"/>
      <c r="D119" s="273"/>
      <c r="E119" s="273"/>
      <c r="F119" s="273"/>
      <c r="G119" s="273"/>
      <c r="H119" s="273"/>
      <c r="I119" s="273"/>
    </row>
    <row r="120">
      <c r="A120" s="273"/>
      <c r="B120" s="273"/>
      <c r="C120" s="273"/>
      <c r="D120" s="273"/>
      <c r="E120" s="273"/>
      <c r="F120" s="273"/>
      <c r="G120" s="273"/>
      <c r="H120" s="273"/>
      <c r="I120" s="273"/>
    </row>
    <row r="121">
      <c r="A121" s="273"/>
      <c r="B121" s="273"/>
      <c r="C121" s="273"/>
      <c r="D121" s="273"/>
      <c r="E121" s="273"/>
      <c r="F121" s="273"/>
      <c r="G121" s="273"/>
      <c r="H121" s="273"/>
      <c r="I121" s="273"/>
    </row>
    <row r="122">
      <c r="A122" s="273"/>
      <c r="B122" s="273"/>
      <c r="C122" s="273"/>
      <c r="D122" s="273"/>
      <c r="E122" s="273"/>
      <c r="F122" s="273"/>
      <c r="G122" s="273"/>
      <c r="H122" s="273"/>
      <c r="I122" s="273"/>
    </row>
    <row r="123">
      <c r="A123" s="273"/>
      <c r="B123" s="273"/>
      <c r="C123" s="273"/>
      <c r="D123" s="273"/>
      <c r="E123" s="273"/>
      <c r="F123" s="273"/>
      <c r="G123" s="273"/>
      <c r="H123" s="273"/>
      <c r="I123" s="273"/>
    </row>
    <row r="124">
      <c r="A124" s="273"/>
      <c r="B124" s="273"/>
      <c r="C124" s="273"/>
      <c r="D124" s="273"/>
      <c r="E124" s="273"/>
      <c r="F124" s="273"/>
      <c r="G124" s="273"/>
      <c r="H124" s="273"/>
      <c r="I124" s="273"/>
    </row>
    <row r="125">
      <c r="A125" s="273"/>
      <c r="B125" s="273"/>
      <c r="C125" s="273"/>
      <c r="D125" s="273"/>
      <c r="E125" s="273"/>
      <c r="F125" s="273"/>
      <c r="G125" s="273"/>
      <c r="H125" s="273"/>
      <c r="I125" s="273"/>
    </row>
    <row r="126">
      <c r="A126" s="273"/>
      <c r="B126" s="273"/>
      <c r="C126" s="273"/>
      <c r="D126" s="273"/>
      <c r="E126" s="273"/>
      <c r="F126" s="273"/>
      <c r="G126" s="273"/>
      <c r="H126" s="273"/>
      <c r="I126" s="273"/>
    </row>
    <row r="127">
      <c r="A127" s="273"/>
      <c r="B127" s="273"/>
      <c r="C127" s="273"/>
      <c r="D127" s="273"/>
      <c r="E127" s="273"/>
      <c r="F127" s="273"/>
      <c r="G127" s="273"/>
      <c r="H127" s="273"/>
      <c r="I127" s="273"/>
    </row>
    <row r="128">
      <c r="A128" s="273"/>
      <c r="B128" s="273"/>
      <c r="C128" s="273"/>
      <c r="D128" s="273"/>
      <c r="E128" s="273"/>
      <c r="F128" s="273"/>
      <c r="G128" s="273"/>
      <c r="H128" s="273"/>
      <c r="I128" s="273"/>
    </row>
    <row r="129">
      <c r="A129" s="273"/>
      <c r="B129" s="273"/>
      <c r="C129" s="273"/>
      <c r="D129" s="273"/>
      <c r="E129" s="273"/>
      <c r="F129" s="273"/>
      <c r="G129" s="273"/>
      <c r="H129" s="273"/>
      <c r="I129" s="273"/>
    </row>
    <row r="130">
      <c r="A130" s="273"/>
      <c r="B130" s="273"/>
      <c r="C130" s="273"/>
      <c r="D130" s="273"/>
      <c r="E130" s="273"/>
      <c r="F130" s="273"/>
      <c r="G130" s="273"/>
      <c r="H130" s="273"/>
      <c r="I130" s="273"/>
    </row>
    <row r="131">
      <c r="A131" s="273"/>
      <c r="B131" s="273"/>
      <c r="C131" s="273"/>
      <c r="D131" s="273"/>
      <c r="E131" s="273"/>
      <c r="F131" s="273"/>
      <c r="G131" s="273"/>
      <c r="H131" s="273"/>
      <c r="I131" s="273"/>
    </row>
    <row r="132">
      <c r="A132" s="273"/>
      <c r="B132" s="273"/>
      <c r="C132" s="273"/>
      <c r="D132" s="273"/>
      <c r="E132" s="273"/>
      <c r="F132" s="273"/>
      <c r="G132" s="273"/>
      <c r="H132" s="273"/>
      <c r="I132" s="273"/>
    </row>
    <row r="133">
      <c r="A133" s="273"/>
      <c r="B133" s="273"/>
      <c r="C133" s="273"/>
      <c r="D133" s="273"/>
      <c r="E133" s="273"/>
      <c r="F133" s="273"/>
      <c r="G133" s="273"/>
      <c r="H133" s="273"/>
      <c r="I133" s="273"/>
    </row>
    <row r="134">
      <c r="A134" s="273"/>
      <c r="B134" s="273"/>
      <c r="C134" s="273"/>
      <c r="D134" s="273"/>
      <c r="E134" s="273"/>
      <c r="F134" s="273"/>
      <c r="G134" s="273"/>
      <c r="H134" s="273"/>
      <c r="I134" s="273"/>
    </row>
    <row r="135">
      <c r="A135" s="273"/>
      <c r="B135" s="273"/>
      <c r="C135" s="273"/>
      <c r="D135" s="273"/>
      <c r="E135" s="273"/>
      <c r="F135" s="273"/>
      <c r="G135" s="273"/>
      <c r="H135" s="273"/>
      <c r="I135" s="273"/>
    </row>
    <row r="136">
      <c r="A136" s="273"/>
      <c r="B136" s="273"/>
      <c r="C136" s="273"/>
      <c r="D136" s="273"/>
      <c r="E136" s="273"/>
      <c r="F136" s="273"/>
      <c r="G136" s="273"/>
      <c r="H136" s="273"/>
      <c r="I136" s="273"/>
    </row>
    <row r="137">
      <c r="A137" s="273"/>
      <c r="B137" s="273"/>
      <c r="C137" s="273"/>
      <c r="D137" s="273"/>
      <c r="E137" s="273"/>
      <c r="F137" s="273"/>
      <c r="G137" s="273"/>
      <c r="H137" s="273"/>
      <c r="I137" s="273"/>
    </row>
    <row r="138">
      <c r="A138" s="273"/>
      <c r="B138" s="273"/>
      <c r="C138" s="273"/>
      <c r="D138" s="273"/>
      <c r="E138" s="273"/>
      <c r="F138" s="273"/>
      <c r="G138" s="273"/>
      <c r="H138" s="273"/>
      <c r="I138" s="273"/>
    </row>
    <row r="139">
      <c r="A139" s="273"/>
      <c r="B139" s="273"/>
      <c r="C139" s="273"/>
      <c r="D139" s="273"/>
      <c r="E139" s="273"/>
      <c r="F139" s="273"/>
      <c r="G139" s="273"/>
      <c r="H139" s="273"/>
      <c r="I139" s="273"/>
    </row>
    <row r="140">
      <c r="A140" s="273"/>
      <c r="B140" s="273"/>
      <c r="C140" s="273"/>
      <c r="D140" s="273"/>
      <c r="E140" s="273"/>
      <c r="F140" s="273"/>
      <c r="G140" s="273"/>
      <c r="H140" s="273"/>
      <c r="I140" s="273"/>
    </row>
    <row r="141">
      <c r="A141" s="273"/>
      <c r="B141" s="273"/>
      <c r="C141" s="273"/>
      <c r="D141" s="273"/>
      <c r="E141" s="273"/>
      <c r="F141" s="273"/>
      <c r="G141" s="273"/>
      <c r="H141" s="273"/>
      <c r="I141" s="273"/>
    </row>
    <row r="142">
      <c r="A142" s="273"/>
      <c r="B142" s="273"/>
      <c r="C142" s="273"/>
      <c r="D142" s="273"/>
      <c r="E142" s="273"/>
      <c r="F142" s="273"/>
      <c r="G142" s="273"/>
      <c r="H142" s="273"/>
      <c r="I142" s="273"/>
    </row>
    <row r="143">
      <c r="A143" s="273"/>
      <c r="B143" s="273"/>
      <c r="C143" s="273"/>
      <c r="D143" s="273"/>
      <c r="E143" s="273"/>
      <c r="F143" s="273"/>
      <c r="G143" s="273"/>
      <c r="H143" s="273"/>
      <c r="I143" s="273"/>
    </row>
    <row r="144">
      <c r="A144" s="273"/>
      <c r="B144" s="273"/>
      <c r="C144" s="273"/>
      <c r="D144" s="273"/>
      <c r="E144" s="273"/>
      <c r="F144" s="273"/>
      <c r="G144" s="273"/>
      <c r="H144" s="273"/>
      <c r="I144" s="273"/>
    </row>
    <row r="145">
      <c r="A145" s="273"/>
      <c r="B145" s="273"/>
      <c r="C145" s="273"/>
      <c r="D145" s="273"/>
      <c r="E145" s="273"/>
      <c r="F145" s="273"/>
      <c r="G145" s="273"/>
      <c r="H145" s="273"/>
      <c r="I145" s="273"/>
    </row>
    <row r="146">
      <c r="A146" s="273"/>
      <c r="B146" s="273"/>
      <c r="C146" s="273"/>
      <c r="D146" s="273"/>
      <c r="E146" s="273"/>
      <c r="F146" s="273"/>
      <c r="G146" s="273"/>
      <c r="H146" s="273"/>
      <c r="I146" s="273"/>
    </row>
    <row r="147">
      <c r="A147" s="273"/>
      <c r="B147" s="273"/>
      <c r="C147" s="273"/>
      <c r="D147" s="273"/>
      <c r="E147" s="273"/>
      <c r="F147" s="273"/>
      <c r="G147" s="273"/>
      <c r="H147" s="273"/>
      <c r="I147" s="273"/>
    </row>
    <row r="148">
      <c r="A148" s="273"/>
      <c r="B148" s="273"/>
      <c r="C148" s="273"/>
      <c r="D148" s="273"/>
      <c r="E148" s="273"/>
      <c r="F148" s="273"/>
      <c r="G148" s="273"/>
      <c r="H148" s="273"/>
      <c r="I148" s="273"/>
    </row>
    <row r="149">
      <c r="A149" s="273"/>
      <c r="B149" s="273"/>
      <c r="C149" s="273"/>
      <c r="D149" s="273"/>
      <c r="E149" s="273"/>
      <c r="F149" s="273"/>
      <c r="G149" s="273"/>
      <c r="H149" s="273"/>
      <c r="I149" s="273"/>
    </row>
    <row r="150">
      <c r="A150" s="273"/>
      <c r="B150" s="273"/>
      <c r="C150" s="273"/>
      <c r="D150" s="273"/>
      <c r="E150" s="273"/>
      <c r="F150" s="273"/>
      <c r="G150" s="273"/>
      <c r="H150" s="273"/>
      <c r="I150" s="273"/>
    </row>
    <row r="151">
      <c r="A151" s="273"/>
      <c r="B151" s="273"/>
      <c r="C151" s="273"/>
      <c r="D151" s="273"/>
      <c r="E151" s="273"/>
      <c r="F151" s="273"/>
      <c r="G151" s="273"/>
      <c r="H151" s="273"/>
      <c r="I151" s="273"/>
    </row>
    <row r="152">
      <c r="A152" s="273"/>
      <c r="B152" s="273"/>
      <c r="C152" s="273"/>
      <c r="D152" s="273"/>
      <c r="E152" s="273"/>
      <c r="F152" s="273"/>
      <c r="G152" s="273"/>
      <c r="H152" s="273"/>
      <c r="I152" s="273"/>
    </row>
    <row r="153">
      <c r="A153" s="273"/>
      <c r="B153" s="273"/>
      <c r="C153" s="273"/>
      <c r="D153" s="273"/>
      <c r="E153" s="273"/>
      <c r="F153" s="273"/>
      <c r="G153" s="273"/>
      <c r="H153" s="273"/>
      <c r="I153" s="273"/>
    </row>
    <row r="154">
      <c r="A154" s="273"/>
      <c r="B154" s="273"/>
      <c r="C154" s="273"/>
      <c r="D154" s="273"/>
      <c r="E154" s="273"/>
      <c r="F154" s="273"/>
      <c r="G154" s="273"/>
      <c r="H154" s="273"/>
      <c r="I154" s="273"/>
    </row>
    <row r="155">
      <c r="A155" s="273"/>
      <c r="B155" s="273"/>
      <c r="C155" s="273"/>
      <c r="D155" s="273"/>
      <c r="E155" s="273"/>
      <c r="F155" s="273"/>
      <c r="G155" s="273"/>
      <c r="H155" s="273"/>
      <c r="I155" s="273"/>
    </row>
    <row r="156">
      <c r="A156" s="273"/>
      <c r="B156" s="273"/>
      <c r="C156" s="273"/>
      <c r="D156" s="273"/>
      <c r="E156" s="273"/>
      <c r="F156" s="273"/>
      <c r="G156" s="273"/>
      <c r="H156" s="273"/>
      <c r="I156" s="273"/>
    </row>
    <row r="157">
      <c r="A157" s="273"/>
      <c r="B157" s="273"/>
      <c r="C157" s="273"/>
      <c r="D157" s="273"/>
      <c r="E157" s="273"/>
      <c r="F157" s="273"/>
      <c r="G157" s="273"/>
      <c r="H157" s="273"/>
      <c r="I157" s="273"/>
    </row>
    <row r="158">
      <c r="A158" s="273"/>
      <c r="B158" s="273"/>
      <c r="C158" s="273"/>
      <c r="D158" s="273"/>
      <c r="E158" s="273"/>
      <c r="F158" s="273"/>
      <c r="G158" s="273"/>
      <c r="H158" s="273"/>
      <c r="I158" s="273"/>
    </row>
    <row r="159">
      <c r="A159" s="273"/>
      <c r="B159" s="273"/>
      <c r="C159" s="273"/>
      <c r="D159" s="273"/>
      <c r="E159" s="273"/>
      <c r="F159" s="273"/>
      <c r="G159" s="273"/>
      <c r="H159" s="273"/>
      <c r="I159" s="273"/>
    </row>
    <row r="160">
      <c r="A160" s="273"/>
      <c r="B160" s="273"/>
      <c r="C160" s="273"/>
      <c r="D160" s="273"/>
      <c r="E160" s="273"/>
      <c r="F160" s="273"/>
      <c r="G160" s="273"/>
      <c r="H160" s="273"/>
      <c r="I160" s="273"/>
    </row>
    <row r="161">
      <c r="A161" s="273"/>
      <c r="B161" s="273"/>
      <c r="C161" s="273"/>
      <c r="D161" s="273"/>
      <c r="E161" s="273"/>
      <c r="F161" s="273"/>
      <c r="G161" s="273"/>
      <c r="H161" s="273"/>
      <c r="I161" s="273"/>
    </row>
    <row r="162">
      <c r="A162" s="273"/>
      <c r="B162" s="273"/>
      <c r="C162" s="273"/>
      <c r="D162" s="273"/>
      <c r="E162" s="273"/>
      <c r="F162" s="273"/>
      <c r="G162" s="273"/>
      <c r="H162" s="273"/>
      <c r="I162" s="273"/>
    </row>
    <row r="163">
      <c r="A163" s="273"/>
      <c r="B163" s="273"/>
      <c r="C163" s="273"/>
      <c r="D163" s="273"/>
      <c r="E163" s="273"/>
      <c r="F163" s="273"/>
      <c r="G163" s="273"/>
      <c r="H163" s="273"/>
      <c r="I163" s="273"/>
    </row>
    <row r="164">
      <c r="A164" s="273"/>
      <c r="B164" s="273"/>
      <c r="C164" s="273"/>
      <c r="D164" s="273"/>
      <c r="E164" s="273"/>
      <c r="F164" s="273"/>
      <c r="G164" s="273"/>
      <c r="H164" s="273"/>
      <c r="I164" s="273"/>
    </row>
    <row r="165">
      <c r="A165" s="273"/>
      <c r="B165" s="273"/>
      <c r="C165" s="273"/>
      <c r="D165" s="273"/>
      <c r="E165" s="273"/>
      <c r="F165" s="273"/>
      <c r="G165" s="273"/>
      <c r="H165" s="273"/>
      <c r="I165" s="273"/>
    </row>
    <row r="166">
      <c r="A166" s="273"/>
      <c r="B166" s="273"/>
      <c r="C166" s="273"/>
      <c r="D166" s="273"/>
      <c r="E166" s="273"/>
      <c r="F166" s="273"/>
      <c r="G166" s="273"/>
      <c r="H166" s="273"/>
      <c r="I166" s="273"/>
    </row>
    <row r="167">
      <c r="A167" s="273"/>
      <c r="B167" s="273"/>
      <c r="C167" s="273"/>
      <c r="D167" s="273"/>
      <c r="E167" s="273"/>
      <c r="F167" s="273"/>
      <c r="G167" s="273"/>
      <c r="H167" s="273"/>
      <c r="I167" s="273"/>
    </row>
    <row r="168">
      <c r="A168" s="273"/>
      <c r="B168" s="273"/>
      <c r="C168" s="273"/>
      <c r="D168" s="273"/>
      <c r="E168" s="273"/>
      <c r="F168" s="273"/>
      <c r="G168" s="273"/>
      <c r="H168" s="273"/>
      <c r="I168" s="273"/>
    </row>
    <row r="169">
      <c r="A169" s="273"/>
      <c r="B169" s="273"/>
      <c r="C169" s="273"/>
      <c r="D169" s="273"/>
      <c r="E169" s="273"/>
      <c r="F169" s="273"/>
      <c r="G169" s="273"/>
      <c r="H169" s="273"/>
      <c r="I169" s="273"/>
    </row>
    <row r="170">
      <c r="A170" s="273"/>
      <c r="B170" s="273"/>
      <c r="C170" s="273"/>
      <c r="D170" s="273"/>
      <c r="E170" s="273"/>
      <c r="F170" s="273"/>
      <c r="G170" s="273"/>
      <c r="H170" s="273"/>
      <c r="I170" s="273"/>
    </row>
    <row r="171">
      <c r="A171" s="273"/>
      <c r="B171" s="273"/>
      <c r="C171" s="273"/>
      <c r="D171" s="273"/>
      <c r="E171" s="273"/>
      <c r="F171" s="273"/>
      <c r="G171" s="273"/>
      <c r="H171" s="273"/>
      <c r="I171" s="273"/>
    </row>
    <row r="172">
      <c r="A172" s="273"/>
      <c r="B172" s="273"/>
      <c r="C172" s="273"/>
      <c r="D172" s="273"/>
      <c r="E172" s="273"/>
      <c r="F172" s="273"/>
      <c r="G172" s="273"/>
      <c r="H172" s="273"/>
      <c r="I172" s="273"/>
    </row>
    <row r="173">
      <c r="A173" s="273"/>
      <c r="B173" s="273"/>
      <c r="C173" s="273"/>
      <c r="D173" s="273"/>
      <c r="E173" s="273"/>
      <c r="F173" s="273"/>
      <c r="G173" s="273"/>
      <c r="H173" s="273"/>
      <c r="I173" s="273"/>
    </row>
    <row r="174">
      <c r="A174" s="273"/>
      <c r="B174" s="273"/>
      <c r="C174" s="273"/>
      <c r="D174" s="273"/>
      <c r="E174" s="273"/>
      <c r="F174" s="273"/>
      <c r="G174" s="273"/>
      <c r="H174" s="273"/>
      <c r="I174" s="273"/>
    </row>
    <row r="175">
      <c r="A175" s="273"/>
      <c r="B175" s="273"/>
      <c r="C175" s="273"/>
      <c r="D175" s="273"/>
      <c r="E175" s="273"/>
      <c r="F175" s="273"/>
      <c r="G175" s="273"/>
      <c r="H175" s="273"/>
      <c r="I175" s="273"/>
    </row>
    <row r="176">
      <c r="A176" s="273"/>
      <c r="B176" s="273"/>
      <c r="C176" s="273"/>
      <c r="D176" s="273"/>
      <c r="E176" s="273"/>
      <c r="F176" s="273"/>
      <c r="G176" s="273"/>
      <c r="H176" s="273"/>
      <c r="I176" s="273"/>
    </row>
    <row r="177">
      <c r="A177" s="273"/>
      <c r="B177" s="273"/>
      <c r="C177" s="273"/>
      <c r="D177" s="273"/>
      <c r="E177" s="273"/>
      <c r="F177" s="273"/>
      <c r="G177" s="273"/>
      <c r="H177" s="273"/>
      <c r="I177" s="273"/>
    </row>
    <row r="178">
      <c r="A178" s="273"/>
      <c r="B178" s="273"/>
      <c r="C178" s="273"/>
      <c r="D178" s="273"/>
      <c r="E178" s="273"/>
      <c r="F178" s="273"/>
      <c r="G178" s="273"/>
      <c r="H178" s="273"/>
      <c r="I178" s="273"/>
    </row>
    <row r="179">
      <c r="A179" s="273"/>
      <c r="B179" s="273"/>
      <c r="C179" s="273"/>
      <c r="D179" s="273"/>
      <c r="E179" s="273"/>
      <c r="F179" s="273"/>
      <c r="G179" s="273"/>
      <c r="H179" s="273"/>
      <c r="I179" s="273"/>
    </row>
    <row r="180">
      <c r="A180" s="273"/>
      <c r="B180" s="273"/>
      <c r="C180" s="273"/>
      <c r="D180" s="273"/>
      <c r="E180" s="273"/>
      <c r="F180" s="273"/>
      <c r="G180" s="273"/>
      <c r="H180" s="273"/>
      <c r="I180" s="273"/>
    </row>
    <row r="181">
      <c r="A181" s="273"/>
      <c r="B181" s="273"/>
      <c r="C181" s="273"/>
      <c r="D181" s="273"/>
      <c r="E181" s="273"/>
      <c r="F181" s="273"/>
      <c r="G181" s="273"/>
      <c r="H181" s="273"/>
      <c r="I181" s="273"/>
    </row>
    <row r="182">
      <c r="A182" s="273"/>
      <c r="B182" s="273"/>
      <c r="C182" s="273"/>
      <c r="D182" s="273"/>
      <c r="E182" s="273"/>
      <c r="F182" s="273"/>
      <c r="G182" s="273"/>
      <c r="H182" s="273"/>
      <c r="I182" s="273"/>
    </row>
    <row r="183">
      <c r="A183" s="273"/>
      <c r="B183" s="273"/>
      <c r="C183" s="273"/>
      <c r="D183" s="273"/>
      <c r="E183" s="273"/>
      <c r="F183" s="273"/>
      <c r="G183" s="273"/>
      <c r="H183" s="273"/>
      <c r="I183" s="273"/>
    </row>
    <row r="184">
      <c r="A184" s="273"/>
      <c r="B184" s="273"/>
      <c r="C184" s="273"/>
      <c r="D184" s="273"/>
      <c r="E184" s="273"/>
      <c r="F184" s="273"/>
      <c r="G184" s="273"/>
      <c r="H184" s="273"/>
      <c r="I184" s="273"/>
    </row>
    <row r="185">
      <c r="A185" s="273"/>
      <c r="B185" s="273"/>
      <c r="C185" s="273"/>
      <c r="D185" s="273"/>
      <c r="E185" s="273"/>
      <c r="F185" s="273"/>
      <c r="G185" s="273"/>
      <c r="H185" s="273"/>
      <c r="I185" s="273"/>
    </row>
    <row r="186">
      <c r="A186" s="273"/>
      <c r="B186" s="273"/>
      <c r="C186" s="273"/>
      <c r="D186" s="273"/>
      <c r="E186" s="273"/>
      <c r="F186" s="273"/>
      <c r="G186" s="273"/>
      <c r="H186" s="273"/>
      <c r="I186" s="273"/>
    </row>
    <row r="187">
      <c r="A187" s="273"/>
      <c r="B187" s="273"/>
      <c r="C187" s="273"/>
      <c r="D187" s="273"/>
      <c r="E187" s="273"/>
      <c r="F187" s="273"/>
      <c r="G187" s="273"/>
      <c r="H187" s="273"/>
      <c r="I187" s="273"/>
    </row>
    <row r="188">
      <c r="A188" s="273"/>
      <c r="B188" s="273"/>
      <c r="C188" s="273"/>
      <c r="D188" s="273"/>
      <c r="E188" s="273"/>
      <c r="F188" s="273"/>
      <c r="G188" s="273"/>
      <c r="H188" s="273"/>
      <c r="I188" s="273"/>
    </row>
    <row r="189">
      <c r="A189" s="273"/>
      <c r="B189" s="273"/>
      <c r="C189" s="273"/>
      <c r="D189" s="273"/>
      <c r="E189" s="273"/>
      <c r="F189" s="273"/>
      <c r="G189" s="273"/>
      <c r="H189" s="273"/>
      <c r="I189" s="273"/>
    </row>
    <row r="190">
      <c r="A190" s="273"/>
      <c r="B190" s="273"/>
      <c r="C190" s="273"/>
      <c r="D190" s="273"/>
      <c r="E190" s="273"/>
      <c r="F190" s="273"/>
      <c r="G190" s="273"/>
      <c r="H190" s="273"/>
      <c r="I190" s="273"/>
    </row>
    <row r="191">
      <c r="A191" s="273"/>
      <c r="B191" s="273"/>
      <c r="C191" s="273"/>
      <c r="D191" s="273"/>
      <c r="E191" s="273"/>
      <c r="F191" s="273"/>
      <c r="G191" s="273"/>
      <c r="H191" s="273"/>
      <c r="I191" s="273"/>
    </row>
    <row r="192">
      <c r="A192" s="273"/>
      <c r="B192" s="273"/>
      <c r="C192" s="273"/>
      <c r="D192" s="273"/>
      <c r="E192" s="273"/>
      <c r="F192" s="273"/>
      <c r="G192" s="273"/>
      <c r="H192" s="273"/>
      <c r="I192" s="273"/>
    </row>
    <row r="193">
      <c r="A193" s="273"/>
      <c r="B193" s="273"/>
      <c r="C193" s="273"/>
      <c r="D193" s="273"/>
      <c r="E193" s="273"/>
      <c r="F193" s="273"/>
      <c r="G193" s="273"/>
      <c r="H193" s="273"/>
      <c r="I193" s="273"/>
    </row>
    <row r="194">
      <c r="A194" s="273"/>
      <c r="B194" s="273"/>
      <c r="C194" s="273"/>
      <c r="D194" s="273"/>
      <c r="E194" s="273"/>
      <c r="F194" s="273"/>
      <c r="G194" s="273"/>
      <c r="H194" s="273"/>
      <c r="I194" s="273"/>
    </row>
    <row r="195">
      <c r="A195" s="273"/>
      <c r="B195" s="273"/>
      <c r="C195" s="273"/>
      <c r="D195" s="273"/>
      <c r="E195" s="273"/>
      <c r="F195" s="273"/>
      <c r="G195" s="273"/>
      <c r="H195" s="273"/>
      <c r="I195" s="273"/>
    </row>
    <row r="196">
      <c r="A196" s="273"/>
      <c r="B196" s="273"/>
      <c r="C196" s="273"/>
      <c r="D196" s="273"/>
      <c r="E196" s="273"/>
      <c r="F196" s="273"/>
      <c r="G196" s="273"/>
      <c r="H196" s="273"/>
      <c r="I196" s="273"/>
    </row>
    <row r="197">
      <c r="A197" s="273"/>
      <c r="B197" s="273"/>
      <c r="C197" s="273"/>
      <c r="D197" s="273"/>
      <c r="E197" s="273"/>
      <c r="F197" s="273"/>
      <c r="G197" s="273"/>
      <c r="H197" s="273"/>
      <c r="I197" s="273"/>
    </row>
    <row r="198">
      <c r="A198" s="273"/>
      <c r="B198" s="273"/>
      <c r="C198" s="273"/>
      <c r="D198" s="273"/>
      <c r="E198" s="273"/>
      <c r="F198" s="273"/>
      <c r="G198" s="273"/>
      <c r="H198" s="273"/>
      <c r="I198" s="273"/>
    </row>
    <row r="199">
      <c r="A199" s="273"/>
      <c r="B199" s="273"/>
      <c r="C199" s="273"/>
      <c r="D199" s="273"/>
      <c r="E199" s="273"/>
      <c r="F199" s="273"/>
      <c r="G199" s="273"/>
      <c r="H199" s="273"/>
      <c r="I199" s="273"/>
    </row>
    <row r="200">
      <c r="A200" s="273"/>
      <c r="B200" s="273"/>
      <c r="C200" s="273"/>
      <c r="D200" s="273"/>
      <c r="E200" s="273"/>
      <c r="F200" s="273"/>
      <c r="G200" s="273"/>
      <c r="H200" s="273"/>
      <c r="I200" s="273"/>
    </row>
    <row r="201">
      <c r="A201" s="273"/>
      <c r="B201" s="273"/>
      <c r="C201" s="273"/>
      <c r="D201" s="273"/>
      <c r="E201" s="273"/>
      <c r="F201" s="273"/>
      <c r="G201" s="273"/>
      <c r="H201" s="273"/>
      <c r="I201" s="273"/>
    </row>
    <row r="202">
      <c r="A202" s="273"/>
      <c r="B202" s="273"/>
      <c r="C202" s="273"/>
      <c r="D202" s="273"/>
      <c r="E202" s="273"/>
      <c r="F202" s="273"/>
      <c r="G202" s="273"/>
      <c r="H202" s="273"/>
      <c r="I202" s="273"/>
    </row>
    <row r="203">
      <c r="A203" s="273"/>
      <c r="B203" s="273"/>
      <c r="C203" s="273"/>
      <c r="D203" s="273"/>
      <c r="E203" s="273"/>
      <c r="F203" s="273"/>
      <c r="G203" s="273"/>
      <c r="H203" s="273"/>
      <c r="I203" s="273"/>
    </row>
    <row r="204">
      <c r="A204" s="273"/>
      <c r="B204" s="273"/>
      <c r="C204" s="273"/>
      <c r="D204" s="273"/>
      <c r="E204" s="273"/>
      <c r="F204" s="273"/>
      <c r="G204" s="273"/>
      <c r="H204" s="273"/>
      <c r="I204" s="273"/>
    </row>
    <row r="205">
      <c r="A205" s="273"/>
      <c r="B205" s="273"/>
      <c r="C205" s="273"/>
      <c r="D205" s="273"/>
      <c r="E205" s="273"/>
      <c r="F205" s="273"/>
      <c r="G205" s="273"/>
      <c r="H205" s="273"/>
      <c r="I205" s="273"/>
    </row>
    <row r="206">
      <c r="A206" s="273"/>
      <c r="B206" s="273"/>
      <c r="C206" s="273"/>
      <c r="D206" s="273"/>
      <c r="E206" s="273"/>
      <c r="F206" s="273"/>
      <c r="G206" s="273"/>
      <c r="H206" s="273"/>
      <c r="I206" s="273"/>
    </row>
    <row r="207">
      <c r="A207" s="273"/>
      <c r="B207" s="273"/>
      <c r="C207" s="273"/>
      <c r="D207" s="273"/>
      <c r="E207" s="273"/>
      <c r="F207" s="273"/>
      <c r="G207" s="273"/>
      <c r="H207" s="273"/>
      <c r="I207" s="273"/>
    </row>
    <row r="208">
      <c r="A208" s="273"/>
      <c r="B208" s="273"/>
      <c r="C208" s="273"/>
      <c r="D208" s="273"/>
      <c r="E208" s="273"/>
      <c r="F208" s="273"/>
      <c r="G208" s="273"/>
      <c r="H208" s="273"/>
      <c r="I208" s="273"/>
    </row>
    <row r="209">
      <c r="A209" s="273"/>
      <c r="B209" s="273"/>
      <c r="C209" s="273"/>
      <c r="D209" s="273"/>
      <c r="E209" s="273"/>
      <c r="F209" s="273"/>
      <c r="G209" s="273"/>
      <c r="H209" s="273"/>
      <c r="I209" s="273"/>
    </row>
    <row r="210">
      <c r="A210" s="273"/>
      <c r="B210" s="273"/>
      <c r="C210" s="273"/>
      <c r="D210" s="273"/>
      <c r="E210" s="273"/>
      <c r="F210" s="273"/>
      <c r="G210" s="273"/>
      <c r="H210" s="273"/>
      <c r="I210" s="273"/>
    </row>
    <row r="211">
      <c r="A211" s="273"/>
      <c r="B211" s="273"/>
      <c r="C211" s="273"/>
      <c r="D211" s="273"/>
      <c r="E211" s="273"/>
      <c r="F211" s="273"/>
      <c r="G211" s="273"/>
      <c r="H211" s="273"/>
      <c r="I211" s="273"/>
    </row>
    <row r="212">
      <c r="A212" s="273"/>
      <c r="B212" s="273"/>
      <c r="C212" s="273"/>
      <c r="D212" s="273"/>
      <c r="E212" s="273"/>
      <c r="F212" s="273"/>
      <c r="G212" s="273"/>
      <c r="H212" s="273"/>
      <c r="I212" s="273"/>
    </row>
    <row r="213">
      <c r="A213" s="273"/>
      <c r="B213" s="273"/>
      <c r="C213" s="273"/>
      <c r="D213" s="273"/>
      <c r="E213" s="273"/>
      <c r="F213" s="273"/>
      <c r="G213" s="273"/>
      <c r="H213" s="273"/>
      <c r="I213" s="273"/>
    </row>
    <row r="214">
      <c r="A214" s="273"/>
      <c r="B214" s="273"/>
      <c r="C214" s="273"/>
      <c r="D214" s="273"/>
      <c r="E214" s="273"/>
      <c r="F214" s="273"/>
      <c r="G214" s="273"/>
      <c r="H214" s="273"/>
      <c r="I214" s="273"/>
    </row>
    <row r="215">
      <c r="A215" s="273"/>
      <c r="B215" s="273"/>
      <c r="C215" s="273"/>
      <c r="D215" s="273"/>
      <c r="E215" s="273"/>
      <c r="F215" s="273"/>
      <c r="G215" s="273"/>
      <c r="H215" s="273"/>
      <c r="I215" s="273"/>
    </row>
    <row r="216">
      <c r="A216" s="273"/>
      <c r="B216" s="273"/>
      <c r="C216" s="273"/>
      <c r="D216" s="273"/>
      <c r="E216" s="273"/>
      <c r="F216" s="273"/>
      <c r="G216" s="273"/>
      <c r="H216" s="273"/>
      <c r="I216" s="273"/>
    </row>
    <row r="217">
      <c r="A217" s="273"/>
      <c r="B217" s="273"/>
      <c r="C217" s="273"/>
      <c r="D217" s="273"/>
      <c r="E217" s="273"/>
      <c r="F217" s="273"/>
      <c r="G217" s="273"/>
      <c r="H217" s="273"/>
      <c r="I217" s="273"/>
    </row>
    <row r="218">
      <c r="A218" s="273"/>
      <c r="B218" s="273"/>
      <c r="C218" s="273"/>
      <c r="D218" s="273"/>
      <c r="E218" s="273"/>
      <c r="F218" s="273"/>
      <c r="G218" s="273"/>
      <c r="H218" s="273"/>
      <c r="I218" s="273"/>
    </row>
    <row r="219">
      <c r="A219" s="273"/>
      <c r="B219" s="273"/>
      <c r="C219" s="273"/>
      <c r="D219" s="273"/>
      <c r="E219" s="273"/>
      <c r="F219" s="273"/>
      <c r="G219" s="273"/>
      <c r="H219" s="273"/>
      <c r="I219" s="273"/>
    </row>
    <row r="220">
      <c r="A220" s="273"/>
      <c r="B220" s="273"/>
      <c r="C220" s="273"/>
      <c r="D220" s="273"/>
      <c r="E220" s="273"/>
      <c r="F220" s="273"/>
      <c r="G220" s="273"/>
      <c r="H220" s="273"/>
      <c r="I220" s="273"/>
    </row>
    <row r="221">
      <c r="A221" s="273"/>
      <c r="B221" s="273"/>
      <c r="C221" s="273"/>
      <c r="D221" s="273"/>
      <c r="E221" s="273"/>
      <c r="F221" s="273"/>
      <c r="G221" s="273"/>
      <c r="H221" s="273"/>
      <c r="I221" s="273"/>
    </row>
    <row r="222">
      <c r="A222" s="273"/>
      <c r="B222" s="273"/>
      <c r="C222" s="273"/>
      <c r="D222" s="273"/>
      <c r="E222" s="273"/>
      <c r="F222" s="273"/>
      <c r="G222" s="273"/>
      <c r="H222" s="273"/>
      <c r="I222" s="273"/>
    </row>
    <row r="223">
      <c r="A223" s="273"/>
      <c r="B223" s="273"/>
      <c r="C223" s="273"/>
      <c r="D223" s="273"/>
      <c r="E223" s="273"/>
      <c r="F223" s="273"/>
      <c r="G223" s="273"/>
      <c r="H223" s="273"/>
      <c r="I223" s="273"/>
    </row>
    <row r="224">
      <c r="A224" s="273"/>
      <c r="B224" s="273"/>
      <c r="C224" s="273"/>
      <c r="D224" s="273"/>
      <c r="E224" s="273"/>
      <c r="F224" s="273"/>
      <c r="G224" s="273"/>
      <c r="H224" s="273"/>
      <c r="I224" s="273"/>
    </row>
    <row r="225">
      <c r="A225" s="273"/>
      <c r="B225" s="273"/>
      <c r="C225" s="273"/>
      <c r="D225" s="273"/>
      <c r="E225" s="273"/>
      <c r="F225" s="273"/>
      <c r="G225" s="273"/>
      <c r="H225" s="273"/>
      <c r="I225" s="273"/>
    </row>
    <row r="226">
      <c r="A226" s="273"/>
      <c r="B226" s="273"/>
      <c r="C226" s="273"/>
      <c r="D226" s="273"/>
      <c r="E226" s="273"/>
      <c r="F226" s="273"/>
      <c r="G226" s="273"/>
      <c r="H226" s="273"/>
      <c r="I226" s="273"/>
    </row>
    <row r="227">
      <c r="A227" s="273"/>
      <c r="B227" s="273"/>
      <c r="C227" s="273"/>
      <c r="D227" s="273"/>
      <c r="E227" s="273"/>
      <c r="F227" s="273"/>
      <c r="G227" s="273"/>
      <c r="H227" s="273"/>
      <c r="I227" s="273"/>
    </row>
    <row r="228">
      <c r="A228" s="273"/>
      <c r="B228" s="273"/>
      <c r="C228" s="273"/>
      <c r="D228" s="273"/>
      <c r="E228" s="273"/>
      <c r="F228" s="273"/>
      <c r="G228" s="273"/>
      <c r="H228" s="273"/>
      <c r="I228" s="273"/>
    </row>
    <row r="229">
      <c r="A229" s="273"/>
      <c r="B229" s="273"/>
      <c r="C229" s="273"/>
      <c r="D229" s="273"/>
      <c r="E229" s="273"/>
      <c r="F229" s="273"/>
      <c r="G229" s="273"/>
      <c r="H229" s="273"/>
      <c r="I229" s="273"/>
    </row>
    <row r="230">
      <c r="A230" s="273"/>
      <c r="B230" s="273"/>
      <c r="C230" s="273"/>
      <c r="D230" s="273"/>
      <c r="E230" s="273"/>
      <c r="F230" s="273"/>
      <c r="G230" s="273"/>
      <c r="H230" s="273"/>
      <c r="I230" s="273"/>
    </row>
    <row r="231">
      <c r="A231" s="273"/>
      <c r="B231" s="273"/>
      <c r="C231" s="273"/>
      <c r="D231" s="273"/>
      <c r="E231" s="273"/>
      <c r="F231" s="273"/>
      <c r="G231" s="273"/>
      <c r="H231" s="273"/>
      <c r="I231" s="273"/>
    </row>
    <row r="232">
      <c r="A232" s="273"/>
      <c r="B232" s="273"/>
      <c r="C232" s="273"/>
      <c r="D232" s="273"/>
      <c r="E232" s="273"/>
      <c r="F232" s="273"/>
      <c r="G232" s="273"/>
      <c r="H232" s="273"/>
      <c r="I232" s="273"/>
    </row>
    <row r="233">
      <c r="A233" s="273"/>
      <c r="B233" s="273"/>
      <c r="C233" s="273"/>
      <c r="D233" s="273"/>
      <c r="E233" s="273"/>
      <c r="F233" s="273"/>
      <c r="G233" s="273"/>
      <c r="H233" s="273"/>
      <c r="I233" s="273"/>
    </row>
    <row r="234">
      <c r="A234" s="273"/>
      <c r="B234" s="273"/>
      <c r="C234" s="273"/>
      <c r="D234" s="273"/>
      <c r="E234" s="273"/>
      <c r="F234" s="273"/>
      <c r="G234" s="273"/>
      <c r="H234" s="273"/>
      <c r="I234" s="273"/>
    </row>
    <row r="235">
      <c r="A235" s="273"/>
      <c r="B235" s="273"/>
      <c r="C235" s="273"/>
      <c r="D235" s="273"/>
      <c r="E235" s="273"/>
      <c r="F235" s="273"/>
      <c r="G235" s="273"/>
      <c r="H235" s="273"/>
      <c r="I235" s="273"/>
    </row>
    <row r="236">
      <c r="A236" s="273"/>
      <c r="B236" s="273"/>
      <c r="C236" s="273"/>
      <c r="D236" s="273"/>
      <c r="E236" s="273"/>
      <c r="F236" s="273"/>
      <c r="G236" s="273"/>
      <c r="H236" s="273"/>
      <c r="I236" s="273"/>
    </row>
    <row r="237">
      <c r="A237" s="273"/>
      <c r="B237" s="273"/>
      <c r="C237" s="273"/>
      <c r="D237" s="273"/>
      <c r="E237" s="273"/>
      <c r="F237" s="273"/>
      <c r="G237" s="273"/>
      <c r="H237" s="273"/>
      <c r="I237" s="273"/>
    </row>
    <row r="238">
      <c r="A238" s="273"/>
      <c r="B238" s="273"/>
      <c r="C238" s="273"/>
      <c r="D238" s="273"/>
      <c r="E238" s="273"/>
      <c r="F238" s="273"/>
      <c r="G238" s="273"/>
      <c r="H238" s="273"/>
      <c r="I238" s="273"/>
    </row>
    <row r="239">
      <c r="A239" s="273"/>
      <c r="B239" s="273"/>
      <c r="C239" s="273"/>
      <c r="D239" s="273"/>
      <c r="E239" s="273"/>
      <c r="F239" s="273"/>
      <c r="G239" s="273"/>
      <c r="H239" s="273"/>
      <c r="I239" s="273"/>
    </row>
    <row r="240">
      <c r="A240" s="273"/>
      <c r="B240" s="273"/>
      <c r="C240" s="273"/>
      <c r="D240" s="273"/>
      <c r="E240" s="273"/>
      <c r="F240" s="273"/>
      <c r="G240" s="273"/>
      <c r="H240" s="273"/>
      <c r="I240" s="273"/>
    </row>
    <row r="241">
      <c r="A241" s="273"/>
      <c r="B241" s="273"/>
      <c r="C241" s="273"/>
      <c r="D241" s="273"/>
      <c r="E241" s="273"/>
      <c r="F241" s="273"/>
      <c r="G241" s="273"/>
      <c r="H241" s="273"/>
      <c r="I241" s="273"/>
    </row>
    <row r="242">
      <c r="A242" s="273"/>
      <c r="B242" s="273"/>
      <c r="C242" s="273"/>
      <c r="D242" s="273"/>
      <c r="E242" s="273"/>
      <c r="F242" s="273"/>
      <c r="G242" s="273"/>
      <c r="H242" s="273"/>
      <c r="I242" s="273"/>
    </row>
    <row r="243">
      <c r="A243" s="273"/>
      <c r="B243" s="273"/>
      <c r="C243" s="273"/>
      <c r="D243" s="273"/>
      <c r="E243" s="273"/>
      <c r="F243" s="273"/>
      <c r="G243" s="273"/>
      <c r="H243" s="273"/>
      <c r="I243" s="273"/>
    </row>
    <row r="244">
      <c r="A244" s="273"/>
      <c r="B244" s="273"/>
      <c r="C244" s="273"/>
      <c r="D244" s="273"/>
      <c r="E244" s="273"/>
      <c r="F244" s="273"/>
      <c r="G244" s="273"/>
      <c r="H244" s="273"/>
      <c r="I244" s="273"/>
    </row>
    <row r="245">
      <c r="A245" s="273"/>
      <c r="B245" s="273"/>
      <c r="C245" s="273"/>
      <c r="D245" s="273"/>
      <c r="E245" s="273"/>
      <c r="F245" s="273"/>
      <c r="G245" s="273"/>
      <c r="H245" s="273"/>
      <c r="I245" s="273"/>
    </row>
    <row r="246">
      <c r="A246" s="273"/>
      <c r="B246" s="273"/>
      <c r="C246" s="273"/>
      <c r="D246" s="273"/>
      <c r="E246" s="273"/>
      <c r="F246" s="273"/>
      <c r="G246" s="273"/>
      <c r="H246" s="273"/>
      <c r="I246" s="273"/>
    </row>
    <row r="247">
      <c r="A247" s="273"/>
      <c r="B247" s="273"/>
      <c r="C247" s="273"/>
      <c r="D247" s="273"/>
      <c r="E247" s="273"/>
      <c r="F247" s="273"/>
      <c r="G247" s="273"/>
      <c r="H247" s="273"/>
      <c r="I247" s="273"/>
    </row>
    <row r="248">
      <c r="A248" s="273"/>
      <c r="B248" s="273"/>
      <c r="C248" s="273"/>
      <c r="D248" s="273"/>
      <c r="E248" s="273"/>
      <c r="F248" s="273"/>
      <c r="G248" s="273"/>
      <c r="H248" s="273"/>
      <c r="I248" s="273"/>
    </row>
    <row r="249">
      <c r="A249" s="273"/>
      <c r="B249" s="273"/>
      <c r="C249" s="273"/>
      <c r="D249" s="273"/>
      <c r="E249" s="273"/>
      <c r="F249" s="273"/>
      <c r="G249" s="273"/>
      <c r="H249" s="273"/>
      <c r="I249" s="273"/>
    </row>
    <row r="250">
      <c r="A250" s="273"/>
      <c r="B250" s="273"/>
      <c r="C250" s="273"/>
      <c r="D250" s="273"/>
      <c r="E250" s="273"/>
      <c r="F250" s="273"/>
      <c r="G250" s="273"/>
      <c r="H250" s="273"/>
      <c r="I250" s="273"/>
    </row>
    <row r="251">
      <c r="A251" s="273"/>
      <c r="B251" s="273"/>
      <c r="C251" s="273"/>
      <c r="D251" s="273"/>
      <c r="E251" s="273"/>
      <c r="F251" s="273"/>
      <c r="G251" s="273"/>
      <c r="H251" s="273"/>
      <c r="I251" s="273"/>
    </row>
    <row r="252">
      <c r="A252" s="273"/>
      <c r="B252" s="273"/>
      <c r="C252" s="273"/>
      <c r="D252" s="273"/>
      <c r="E252" s="273"/>
      <c r="F252" s="273"/>
      <c r="G252" s="273"/>
      <c r="H252" s="273"/>
      <c r="I252" s="273"/>
    </row>
    <row r="253">
      <c r="A253" s="273"/>
      <c r="B253" s="273"/>
      <c r="C253" s="273"/>
      <c r="D253" s="273"/>
      <c r="E253" s="273"/>
      <c r="F253" s="273"/>
      <c r="G253" s="273"/>
      <c r="H253" s="273"/>
      <c r="I253" s="273"/>
    </row>
    <row r="254">
      <c r="A254" s="273"/>
      <c r="B254" s="273"/>
      <c r="C254" s="273"/>
      <c r="D254" s="273"/>
      <c r="E254" s="273"/>
      <c r="F254" s="273"/>
      <c r="G254" s="273"/>
      <c r="H254" s="273"/>
      <c r="I254" s="273"/>
    </row>
    <row r="255">
      <c r="A255" s="273"/>
      <c r="B255" s="273"/>
      <c r="C255" s="273"/>
      <c r="D255" s="273"/>
      <c r="E255" s="273"/>
      <c r="F255" s="273"/>
      <c r="G255" s="273"/>
      <c r="H255" s="273"/>
      <c r="I255" s="273"/>
    </row>
    <row r="256">
      <c r="A256" s="273"/>
      <c r="B256" s="273"/>
      <c r="C256" s="273"/>
      <c r="D256" s="273"/>
      <c r="E256" s="273"/>
      <c r="F256" s="273"/>
      <c r="G256" s="273"/>
      <c r="H256" s="273"/>
      <c r="I256" s="273"/>
    </row>
    <row r="257">
      <c r="A257" s="273"/>
      <c r="B257" s="273"/>
      <c r="C257" s="273"/>
      <c r="D257" s="273"/>
      <c r="E257" s="273"/>
      <c r="F257" s="273"/>
      <c r="G257" s="273"/>
      <c r="H257" s="273"/>
      <c r="I257" s="273"/>
    </row>
    <row r="258">
      <c r="A258" s="273"/>
      <c r="B258" s="273"/>
      <c r="C258" s="273"/>
      <c r="D258" s="273"/>
      <c r="E258" s="273"/>
      <c r="F258" s="273"/>
      <c r="G258" s="273"/>
      <c r="H258" s="273"/>
      <c r="I258" s="273"/>
    </row>
    <row r="259">
      <c r="A259" s="273"/>
      <c r="B259" s="273"/>
      <c r="C259" s="273"/>
      <c r="D259" s="273"/>
      <c r="E259" s="273"/>
      <c r="F259" s="273"/>
      <c r="G259" s="273"/>
      <c r="H259" s="273"/>
      <c r="I259" s="273"/>
    </row>
    <row r="260">
      <c r="A260" s="273"/>
      <c r="B260" s="273"/>
      <c r="C260" s="273"/>
      <c r="D260" s="273"/>
      <c r="E260" s="273"/>
      <c r="F260" s="273"/>
      <c r="G260" s="273"/>
      <c r="H260" s="273"/>
      <c r="I260" s="273"/>
    </row>
    <row r="261">
      <c r="A261" s="273"/>
      <c r="B261" s="273"/>
      <c r="C261" s="273"/>
      <c r="D261" s="273"/>
      <c r="E261" s="273"/>
      <c r="F261" s="273"/>
      <c r="G261" s="273"/>
      <c r="H261" s="273"/>
      <c r="I261" s="273"/>
    </row>
    <row r="262">
      <c r="A262" s="273"/>
      <c r="B262" s="273"/>
      <c r="C262" s="273"/>
      <c r="D262" s="273"/>
      <c r="E262" s="273"/>
      <c r="F262" s="273"/>
      <c r="G262" s="273"/>
      <c r="H262" s="273"/>
      <c r="I262" s="273"/>
    </row>
    <row r="263">
      <c r="A263" s="273"/>
      <c r="B263" s="273"/>
      <c r="C263" s="273"/>
      <c r="D263" s="273"/>
      <c r="E263" s="273"/>
      <c r="F263" s="273"/>
      <c r="G263" s="273"/>
      <c r="H263" s="273"/>
      <c r="I263" s="273"/>
    </row>
    <row r="264">
      <c r="A264" s="273"/>
      <c r="B264" s="273"/>
      <c r="C264" s="273"/>
      <c r="D264" s="273"/>
      <c r="E264" s="273"/>
      <c r="F264" s="273"/>
      <c r="G264" s="273"/>
      <c r="H264" s="273"/>
      <c r="I264" s="273"/>
    </row>
    <row r="265">
      <c r="A265" s="273"/>
      <c r="B265" s="273"/>
      <c r="C265" s="273"/>
      <c r="D265" s="273"/>
      <c r="E265" s="273"/>
      <c r="F265" s="273"/>
      <c r="G265" s="273"/>
      <c r="H265" s="273"/>
      <c r="I265" s="273"/>
    </row>
    <row r="266">
      <c r="A266" s="273"/>
      <c r="B266" s="273"/>
      <c r="C266" s="273"/>
      <c r="D266" s="273"/>
      <c r="E266" s="273"/>
      <c r="F266" s="273"/>
      <c r="G266" s="273"/>
      <c r="H266" s="273"/>
      <c r="I266" s="273"/>
    </row>
    <row r="267">
      <c r="A267" s="273"/>
      <c r="B267" s="273"/>
      <c r="C267" s="273"/>
      <c r="D267" s="273"/>
      <c r="E267" s="273"/>
      <c r="F267" s="273"/>
      <c r="G267" s="273"/>
      <c r="H267" s="273"/>
      <c r="I267" s="273"/>
    </row>
    <row r="268">
      <c r="A268" s="273"/>
      <c r="B268" s="273"/>
      <c r="C268" s="273"/>
      <c r="D268" s="273"/>
      <c r="E268" s="273"/>
      <c r="F268" s="273"/>
      <c r="G268" s="273"/>
      <c r="H268" s="273"/>
      <c r="I268" s="273"/>
    </row>
    <row r="269">
      <c r="A269" s="273"/>
      <c r="B269" s="273"/>
      <c r="C269" s="273"/>
      <c r="D269" s="273"/>
      <c r="E269" s="273"/>
      <c r="F269" s="273"/>
      <c r="G269" s="273"/>
      <c r="H269" s="273"/>
      <c r="I269" s="273"/>
    </row>
    <row r="270">
      <c r="A270" s="273"/>
      <c r="B270" s="273"/>
      <c r="C270" s="273"/>
      <c r="D270" s="273"/>
      <c r="E270" s="273"/>
      <c r="F270" s="273"/>
      <c r="G270" s="273"/>
      <c r="H270" s="273"/>
      <c r="I270" s="273"/>
    </row>
    <row r="271">
      <c r="A271" s="273"/>
      <c r="B271" s="273"/>
      <c r="C271" s="273"/>
      <c r="D271" s="273"/>
      <c r="E271" s="273"/>
      <c r="F271" s="273"/>
      <c r="G271" s="273"/>
      <c r="H271" s="273"/>
      <c r="I271" s="273"/>
    </row>
    <row r="272">
      <c r="A272" s="273"/>
      <c r="B272" s="273"/>
      <c r="C272" s="273"/>
      <c r="D272" s="273"/>
      <c r="E272" s="273"/>
      <c r="F272" s="273"/>
      <c r="G272" s="273"/>
      <c r="H272" s="273"/>
      <c r="I272" s="273"/>
    </row>
    <row r="273">
      <c r="A273" s="273"/>
      <c r="B273" s="273"/>
      <c r="C273" s="273"/>
      <c r="D273" s="273"/>
      <c r="E273" s="273"/>
      <c r="F273" s="273"/>
      <c r="G273" s="273"/>
      <c r="H273" s="273"/>
      <c r="I273" s="273"/>
    </row>
    <row r="274">
      <c r="A274" s="273"/>
      <c r="B274" s="273"/>
      <c r="C274" s="273"/>
      <c r="D274" s="273"/>
      <c r="E274" s="273"/>
      <c r="F274" s="273"/>
      <c r="G274" s="273"/>
      <c r="H274" s="273"/>
      <c r="I274" s="273"/>
    </row>
    <row r="275">
      <c r="A275" s="273"/>
      <c r="B275" s="273"/>
      <c r="C275" s="273"/>
      <c r="D275" s="273"/>
      <c r="E275" s="273"/>
      <c r="F275" s="273"/>
      <c r="G275" s="273"/>
      <c r="H275" s="273"/>
      <c r="I275" s="273"/>
    </row>
    <row r="276">
      <c r="A276" s="273"/>
      <c r="B276" s="273"/>
      <c r="C276" s="273"/>
      <c r="D276" s="273"/>
      <c r="E276" s="273"/>
      <c r="F276" s="273"/>
      <c r="G276" s="273"/>
      <c r="H276" s="273"/>
      <c r="I276" s="273"/>
    </row>
    <row r="277">
      <c r="A277" s="273"/>
      <c r="B277" s="273"/>
      <c r="C277" s="273"/>
      <c r="D277" s="273"/>
      <c r="E277" s="273"/>
      <c r="F277" s="273"/>
      <c r="G277" s="273"/>
      <c r="H277" s="273"/>
      <c r="I277" s="273"/>
    </row>
    <row r="278">
      <c r="A278" s="273"/>
      <c r="B278" s="273"/>
      <c r="C278" s="273"/>
      <c r="D278" s="273"/>
      <c r="E278" s="273"/>
      <c r="F278" s="273"/>
      <c r="G278" s="273"/>
      <c r="H278" s="273"/>
      <c r="I278" s="273"/>
    </row>
    <row r="279">
      <c r="A279" s="273"/>
      <c r="B279" s="273"/>
      <c r="C279" s="273"/>
      <c r="D279" s="273"/>
      <c r="E279" s="273"/>
      <c r="F279" s="273"/>
      <c r="G279" s="273"/>
      <c r="H279" s="273"/>
      <c r="I279" s="273"/>
    </row>
    <row r="280">
      <c r="A280" s="273"/>
      <c r="B280" s="273"/>
      <c r="C280" s="273"/>
      <c r="D280" s="273"/>
      <c r="E280" s="273"/>
      <c r="F280" s="273"/>
      <c r="G280" s="273"/>
      <c r="H280" s="273"/>
      <c r="I280" s="273"/>
    </row>
    <row r="281">
      <c r="A281" s="273"/>
      <c r="B281" s="273"/>
      <c r="C281" s="273"/>
      <c r="D281" s="273"/>
      <c r="E281" s="273"/>
      <c r="F281" s="273"/>
      <c r="G281" s="273"/>
      <c r="H281" s="273"/>
      <c r="I281" s="273"/>
    </row>
    <row r="282">
      <c r="A282" s="273"/>
      <c r="B282" s="273"/>
      <c r="C282" s="273"/>
      <c r="D282" s="273"/>
      <c r="E282" s="273"/>
      <c r="F282" s="273"/>
      <c r="G282" s="273"/>
      <c r="H282" s="273"/>
      <c r="I282" s="273"/>
    </row>
    <row r="283">
      <c r="A283" s="273"/>
      <c r="B283" s="273"/>
      <c r="C283" s="273"/>
      <c r="D283" s="273"/>
      <c r="E283" s="273"/>
      <c r="F283" s="273"/>
      <c r="G283" s="273"/>
      <c r="H283" s="273"/>
      <c r="I283" s="273"/>
    </row>
    <row r="284">
      <c r="A284" s="273"/>
      <c r="B284" s="273"/>
      <c r="C284" s="273"/>
      <c r="D284" s="273"/>
      <c r="E284" s="273"/>
      <c r="F284" s="273"/>
      <c r="G284" s="273"/>
      <c r="H284" s="273"/>
      <c r="I284" s="273"/>
    </row>
    <row r="285">
      <c r="A285" s="273"/>
      <c r="B285" s="273"/>
      <c r="C285" s="273"/>
      <c r="D285" s="273"/>
      <c r="E285" s="273"/>
      <c r="F285" s="273"/>
      <c r="G285" s="273"/>
      <c r="H285" s="273"/>
      <c r="I285" s="273"/>
    </row>
    <row r="286">
      <c r="A286" s="273"/>
      <c r="B286" s="273"/>
      <c r="C286" s="273"/>
      <c r="D286" s="273"/>
      <c r="E286" s="273"/>
      <c r="F286" s="273"/>
      <c r="G286" s="273"/>
      <c r="H286" s="273"/>
      <c r="I286" s="273"/>
    </row>
    <row r="287">
      <c r="A287" s="273"/>
      <c r="B287" s="273"/>
      <c r="C287" s="273"/>
      <c r="D287" s="273"/>
      <c r="E287" s="273"/>
      <c r="F287" s="273"/>
      <c r="G287" s="273"/>
      <c r="H287" s="273"/>
      <c r="I287" s="273"/>
    </row>
    <row r="288">
      <c r="A288" s="273"/>
      <c r="B288" s="273"/>
      <c r="C288" s="273"/>
      <c r="D288" s="273"/>
      <c r="E288" s="273"/>
      <c r="F288" s="273"/>
      <c r="G288" s="273"/>
      <c r="H288" s="273"/>
      <c r="I288" s="273"/>
    </row>
    <row r="289">
      <c r="A289" s="273"/>
      <c r="B289" s="273"/>
      <c r="C289" s="273"/>
      <c r="D289" s="273"/>
      <c r="E289" s="273"/>
      <c r="F289" s="273"/>
      <c r="G289" s="273"/>
      <c r="H289" s="273"/>
      <c r="I289" s="273"/>
    </row>
    <row r="290">
      <c r="A290" s="273"/>
      <c r="B290" s="273"/>
      <c r="C290" s="273"/>
      <c r="D290" s="273"/>
      <c r="E290" s="273"/>
      <c r="F290" s="273"/>
      <c r="G290" s="273"/>
      <c r="H290" s="273"/>
      <c r="I290" s="273"/>
    </row>
    <row r="291">
      <c r="A291" s="273"/>
      <c r="B291" s="273"/>
      <c r="C291" s="273"/>
      <c r="D291" s="273"/>
      <c r="E291" s="273"/>
      <c r="F291" s="273"/>
      <c r="G291" s="273"/>
      <c r="H291" s="273"/>
      <c r="I291" s="273"/>
    </row>
    <row r="292">
      <c r="A292" s="273"/>
      <c r="B292" s="273"/>
      <c r="C292" s="273"/>
      <c r="D292" s="273"/>
      <c r="E292" s="273"/>
      <c r="F292" s="273"/>
      <c r="G292" s="273"/>
      <c r="H292" s="273"/>
      <c r="I292" s="273"/>
    </row>
    <row r="293">
      <c r="A293" s="273"/>
      <c r="B293" s="273"/>
      <c r="C293" s="273"/>
      <c r="D293" s="273"/>
      <c r="E293" s="273"/>
      <c r="F293" s="273"/>
      <c r="G293" s="273"/>
      <c r="H293" s="273"/>
      <c r="I293" s="273"/>
    </row>
    <row r="294">
      <c r="A294" s="273"/>
      <c r="B294" s="273"/>
      <c r="C294" s="273"/>
      <c r="D294" s="273"/>
      <c r="E294" s="273"/>
      <c r="F294" s="273"/>
      <c r="G294" s="273"/>
      <c r="H294" s="273"/>
      <c r="I294" s="273"/>
    </row>
    <row r="295">
      <c r="A295" s="273"/>
      <c r="B295" s="273"/>
      <c r="C295" s="273"/>
      <c r="D295" s="273"/>
      <c r="E295" s="273"/>
      <c r="F295" s="273"/>
      <c r="G295" s="273"/>
      <c r="H295" s="273"/>
      <c r="I295" s="273"/>
    </row>
    <row r="296">
      <c r="A296" s="273"/>
      <c r="B296" s="273"/>
      <c r="C296" s="273"/>
      <c r="D296" s="273"/>
      <c r="E296" s="273"/>
      <c r="F296" s="273"/>
      <c r="G296" s="273"/>
      <c r="H296" s="273"/>
      <c r="I296" s="273"/>
    </row>
    <row r="297">
      <c r="A297" s="273"/>
      <c r="B297" s="273"/>
      <c r="C297" s="273"/>
      <c r="D297" s="273"/>
      <c r="E297" s="273"/>
      <c r="F297" s="273"/>
      <c r="G297" s="273"/>
      <c r="H297" s="273"/>
      <c r="I297" s="273"/>
    </row>
    <row r="298">
      <c r="A298" s="273"/>
      <c r="B298" s="273"/>
      <c r="C298" s="273"/>
      <c r="D298" s="273"/>
      <c r="E298" s="273"/>
      <c r="F298" s="273"/>
      <c r="G298" s="273"/>
      <c r="H298" s="273"/>
      <c r="I298" s="273"/>
    </row>
    <row r="299">
      <c r="A299" s="273"/>
      <c r="B299" s="273"/>
      <c r="C299" s="273"/>
      <c r="D299" s="273"/>
      <c r="E299" s="273"/>
      <c r="F299" s="273"/>
      <c r="G299" s="273"/>
      <c r="H299" s="273"/>
      <c r="I299" s="273"/>
    </row>
    <row r="300">
      <c r="A300" s="273"/>
      <c r="B300" s="273"/>
      <c r="C300" s="273"/>
      <c r="D300" s="273"/>
      <c r="E300" s="273"/>
      <c r="F300" s="273"/>
      <c r="G300" s="273"/>
      <c r="H300" s="273"/>
      <c r="I300" s="273"/>
    </row>
    <row r="301">
      <c r="A301" s="273"/>
      <c r="B301" s="273"/>
      <c r="C301" s="273"/>
      <c r="D301" s="273"/>
      <c r="E301" s="273"/>
      <c r="F301" s="273"/>
      <c r="G301" s="273"/>
      <c r="H301" s="273"/>
      <c r="I301" s="273"/>
    </row>
    <row r="302">
      <c r="A302" s="273"/>
      <c r="B302" s="273"/>
      <c r="C302" s="273"/>
      <c r="D302" s="273"/>
      <c r="E302" s="273"/>
      <c r="F302" s="273"/>
      <c r="G302" s="273"/>
      <c r="H302" s="273"/>
      <c r="I302" s="273"/>
    </row>
    <row r="303">
      <c r="A303" s="273"/>
      <c r="B303" s="273"/>
      <c r="C303" s="273"/>
      <c r="D303" s="273"/>
      <c r="E303" s="273"/>
      <c r="F303" s="273"/>
      <c r="G303" s="273"/>
      <c r="H303" s="273"/>
      <c r="I303" s="273"/>
    </row>
    <row r="304">
      <c r="A304" s="273"/>
      <c r="B304" s="273"/>
      <c r="C304" s="273"/>
      <c r="D304" s="273"/>
      <c r="E304" s="273"/>
      <c r="F304" s="273"/>
      <c r="G304" s="273"/>
      <c r="H304" s="273"/>
      <c r="I304" s="273"/>
    </row>
    <row r="305">
      <c r="A305" s="273"/>
      <c r="B305" s="273"/>
      <c r="C305" s="273"/>
      <c r="D305" s="273"/>
      <c r="E305" s="273"/>
      <c r="F305" s="273"/>
      <c r="G305" s="273"/>
      <c r="H305" s="273"/>
      <c r="I305" s="273"/>
    </row>
    <row r="306">
      <c r="A306" s="273"/>
      <c r="B306" s="273"/>
      <c r="C306" s="273"/>
      <c r="D306" s="273"/>
      <c r="E306" s="273"/>
      <c r="F306" s="273"/>
      <c r="G306" s="273"/>
      <c r="H306" s="273"/>
      <c r="I306" s="273"/>
    </row>
    <row r="307">
      <c r="A307" s="273"/>
      <c r="B307" s="273"/>
      <c r="C307" s="273"/>
      <c r="D307" s="273"/>
      <c r="E307" s="273"/>
      <c r="F307" s="273"/>
      <c r="G307" s="273"/>
      <c r="H307" s="273"/>
      <c r="I307" s="273"/>
    </row>
    <row r="308">
      <c r="A308" s="273"/>
      <c r="B308" s="273"/>
      <c r="C308" s="273"/>
      <c r="D308" s="273"/>
      <c r="E308" s="273"/>
      <c r="F308" s="273"/>
      <c r="G308" s="273"/>
      <c r="H308" s="273"/>
      <c r="I308" s="273"/>
    </row>
    <row r="309">
      <c r="A309" s="273"/>
      <c r="B309" s="273"/>
      <c r="C309" s="273"/>
      <c r="D309" s="273"/>
      <c r="E309" s="273"/>
      <c r="F309" s="273"/>
      <c r="G309" s="273"/>
      <c r="H309" s="273"/>
      <c r="I309" s="273"/>
    </row>
    <row r="310">
      <c r="A310" s="273"/>
      <c r="B310" s="273"/>
      <c r="C310" s="273"/>
      <c r="D310" s="273"/>
      <c r="E310" s="273"/>
      <c r="F310" s="273"/>
      <c r="G310" s="273"/>
      <c r="H310" s="273"/>
      <c r="I310" s="273"/>
    </row>
    <row r="311">
      <c r="A311" s="273"/>
      <c r="B311" s="273"/>
      <c r="C311" s="273"/>
      <c r="D311" s="273"/>
      <c r="E311" s="273"/>
      <c r="F311" s="273"/>
      <c r="G311" s="273"/>
      <c r="H311" s="273"/>
      <c r="I311" s="273"/>
    </row>
    <row r="312">
      <c r="A312" s="273"/>
      <c r="B312" s="273"/>
      <c r="C312" s="273"/>
      <c r="D312" s="273"/>
      <c r="E312" s="273"/>
      <c r="F312" s="273"/>
      <c r="G312" s="273"/>
      <c r="H312" s="273"/>
      <c r="I312" s="273"/>
    </row>
    <row r="313">
      <c r="A313" s="273"/>
      <c r="B313" s="273"/>
      <c r="C313" s="273"/>
      <c r="D313" s="273"/>
      <c r="E313" s="273"/>
      <c r="F313" s="273"/>
      <c r="G313" s="273"/>
      <c r="H313" s="273"/>
      <c r="I313" s="273"/>
    </row>
    <row r="314">
      <c r="A314" s="273"/>
      <c r="B314" s="273"/>
      <c r="C314" s="273"/>
      <c r="D314" s="273"/>
      <c r="E314" s="273"/>
      <c r="F314" s="273"/>
      <c r="G314" s="273"/>
      <c r="H314" s="273"/>
      <c r="I314" s="273"/>
    </row>
    <row r="315">
      <c r="A315" s="273"/>
      <c r="B315" s="273"/>
      <c r="C315" s="273"/>
      <c r="D315" s="273"/>
      <c r="E315" s="273"/>
      <c r="F315" s="273"/>
      <c r="G315" s="273"/>
      <c r="H315" s="273"/>
      <c r="I315" s="273"/>
    </row>
    <row r="316">
      <c r="A316" s="273"/>
      <c r="B316" s="273"/>
      <c r="C316" s="273"/>
      <c r="D316" s="273"/>
      <c r="E316" s="273"/>
      <c r="F316" s="273"/>
      <c r="G316" s="273"/>
      <c r="H316" s="273"/>
      <c r="I316" s="273"/>
    </row>
    <row r="317">
      <c r="A317" s="273"/>
      <c r="B317" s="273"/>
      <c r="C317" s="273"/>
      <c r="D317" s="273"/>
      <c r="E317" s="273"/>
      <c r="F317" s="273"/>
      <c r="G317" s="273"/>
      <c r="H317" s="273"/>
      <c r="I317" s="273"/>
    </row>
    <row r="318">
      <c r="A318" s="273"/>
      <c r="B318" s="273"/>
      <c r="C318" s="273"/>
      <c r="D318" s="273"/>
      <c r="E318" s="273"/>
      <c r="F318" s="273"/>
      <c r="G318" s="273"/>
      <c r="H318" s="273"/>
      <c r="I318" s="273"/>
    </row>
    <row r="319">
      <c r="A319" s="273"/>
      <c r="B319" s="273"/>
      <c r="C319" s="273"/>
      <c r="D319" s="273"/>
      <c r="E319" s="273"/>
      <c r="F319" s="273"/>
      <c r="G319" s="273"/>
      <c r="H319" s="273"/>
      <c r="I319" s="273"/>
    </row>
    <row r="320">
      <c r="A320" s="273"/>
      <c r="B320" s="273"/>
      <c r="C320" s="273"/>
      <c r="D320" s="273"/>
      <c r="E320" s="273"/>
      <c r="F320" s="273"/>
      <c r="G320" s="273"/>
      <c r="H320" s="273"/>
      <c r="I320" s="273"/>
    </row>
    <row r="321">
      <c r="A321" s="273"/>
      <c r="B321" s="273"/>
      <c r="C321" s="273"/>
      <c r="D321" s="273"/>
      <c r="E321" s="273"/>
      <c r="F321" s="273"/>
      <c r="G321" s="273"/>
      <c r="H321" s="273"/>
      <c r="I321" s="273"/>
    </row>
    <row r="322">
      <c r="A322" s="273"/>
      <c r="B322" s="273"/>
      <c r="C322" s="273"/>
      <c r="D322" s="273"/>
      <c r="E322" s="273"/>
      <c r="F322" s="273"/>
      <c r="G322" s="273"/>
      <c r="H322" s="273"/>
      <c r="I322" s="273"/>
    </row>
    <row r="323">
      <c r="A323" s="273"/>
      <c r="B323" s="273"/>
      <c r="C323" s="273"/>
      <c r="D323" s="273"/>
      <c r="E323" s="273"/>
      <c r="F323" s="273"/>
      <c r="G323" s="273"/>
      <c r="H323" s="273"/>
      <c r="I323" s="273"/>
    </row>
    <row r="324">
      <c r="A324" s="273"/>
      <c r="B324" s="273"/>
      <c r="C324" s="273"/>
      <c r="D324" s="273"/>
      <c r="E324" s="273"/>
      <c r="F324" s="273"/>
      <c r="G324" s="273"/>
      <c r="H324" s="273"/>
      <c r="I324" s="273"/>
    </row>
    <row r="325">
      <c r="A325" s="273"/>
      <c r="B325" s="273"/>
      <c r="C325" s="273"/>
      <c r="D325" s="273"/>
      <c r="E325" s="273"/>
      <c r="F325" s="273"/>
      <c r="G325" s="273"/>
      <c r="H325" s="273"/>
      <c r="I325" s="273"/>
    </row>
    <row r="326">
      <c r="A326" s="273"/>
      <c r="B326" s="273"/>
      <c r="C326" s="273"/>
      <c r="D326" s="273"/>
      <c r="E326" s="273"/>
      <c r="F326" s="273"/>
      <c r="G326" s="273"/>
      <c r="H326" s="273"/>
      <c r="I326" s="273"/>
    </row>
    <row r="327">
      <c r="A327" s="273"/>
      <c r="B327" s="273"/>
      <c r="C327" s="273"/>
      <c r="D327" s="273"/>
      <c r="E327" s="273"/>
      <c r="F327" s="273"/>
      <c r="G327" s="273"/>
      <c r="H327" s="273"/>
      <c r="I327" s="273"/>
    </row>
    <row r="328">
      <c r="A328" s="273"/>
      <c r="B328" s="273"/>
      <c r="C328" s="273"/>
      <c r="D328" s="273"/>
      <c r="E328" s="273"/>
      <c r="F328" s="273"/>
      <c r="G328" s="273"/>
      <c r="H328" s="273"/>
      <c r="I328" s="273"/>
    </row>
    <row r="329">
      <c r="A329" s="273"/>
      <c r="B329" s="273"/>
      <c r="C329" s="273"/>
      <c r="D329" s="273"/>
      <c r="E329" s="273"/>
      <c r="F329" s="273"/>
      <c r="G329" s="273"/>
      <c r="H329" s="273"/>
      <c r="I329" s="273"/>
    </row>
    <row r="330">
      <c r="A330" s="273"/>
      <c r="B330" s="273"/>
      <c r="C330" s="273"/>
      <c r="D330" s="273"/>
      <c r="E330" s="273"/>
      <c r="F330" s="273"/>
      <c r="G330" s="273"/>
      <c r="H330" s="273"/>
      <c r="I330" s="273"/>
    </row>
    <row r="331">
      <c r="A331" s="273"/>
      <c r="B331" s="273"/>
      <c r="C331" s="273"/>
      <c r="D331" s="273"/>
      <c r="E331" s="273"/>
      <c r="F331" s="273"/>
      <c r="G331" s="273"/>
      <c r="H331" s="273"/>
      <c r="I331" s="273"/>
    </row>
    <row r="332">
      <c r="A332" s="273"/>
      <c r="B332" s="273"/>
      <c r="C332" s="273"/>
      <c r="D332" s="273"/>
      <c r="E332" s="273"/>
      <c r="F332" s="273"/>
      <c r="G332" s="273"/>
      <c r="H332" s="273"/>
      <c r="I332" s="273"/>
    </row>
    <row r="333">
      <c r="A333" s="273"/>
      <c r="B333" s="273"/>
      <c r="C333" s="273"/>
      <c r="D333" s="273"/>
      <c r="E333" s="273"/>
      <c r="F333" s="273"/>
      <c r="G333" s="273"/>
      <c r="H333" s="273"/>
      <c r="I333" s="273"/>
    </row>
    <row r="334">
      <c r="A334" s="273"/>
      <c r="B334" s="273"/>
      <c r="C334" s="273"/>
      <c r="D334" s="273"/>
      <c r="E334" s="273"/>
      <c r="F334" s="273"/>
      <c r="G334" s="273"/>
      <c r="H334" s="273"/>
      <c r="I334" s="273"/>
    </row>
    <row r="335">
      <c r="A335" s="273"/>
      <c r="B335" s="273"/>
      <c r="C335" s="273"/>
      <c r="D335" s="273"/>
      <c r="E335" s="273"/>
      <c r="F335" s="273"/>
      <c r="G335" s="273"/>
      <c r="H335" s="273"/>
      <c r="I335" s="273"/>
    </row>
    <row r="336">
      <c r="A336" s="273"/>
      <c r="B336" s="273"/>
      <c r="C336" s="273"/>
      <c r="D336" s="273"/>
      <c r="E336" s="273"/>
      <c r="F336" s="273"/>
      <c r="G336" s="273"/>
      <c r="H336" s="273"/>
      <c r="I336" s="273"/>
    </row>
    <row r="337">
      <c r="A337" s="273"/>
      <c r="B337" s="273"/>
      <c r="C337" s="273"/>
      <c r="D337" s="273"/>
      <c r="E337" s="273"/>
      <c r="F337" s="273"/>
      <c r="G337" s="273"/>
      <c r="H337" s="273"/>
      <c r="I337" s="273"/>
    </row>
    <row r="338">
      <c r="A338" s="273"/>
      <c r="B338" s="273"/>
      <c r="C338" s="273"/>
      <c r="D338" s="273"/>
      <c r="E338" s="273"/>
      <c r="F338" s="273"/>
      <c r="G338" s="273"/>
      <c r="H338" s="273"/>
      <c r="I338" s="273"/>
    </row>
    <row r="339">
      <c r="A339" s="273"/>
      <c r="B339" s="273"/>
      <c r="C339" s="273"/>
      <c r="D339" s="273"/>
      <c r="E339" s="273"/>
      <c r="F339" s="273"/>
      <c r="G339" s="273"/>
      <c r="H339" s="273"/>
      <c r="I339" s="273"/>
    </row>
    <row r="340">
      <c r="A340" s="273"/>
      <c r="B340" s="273"/>
      <c r="C340" s="273"/>
      <c r="D340" s="273"/>
      <c r="E340" s="273"/>
      <c r="F340" s="273"/>
      <c r="G340" s="273"/>
      <c r="H340" s="273"/>
      <c r="I340" s="273"/>
    </row>
    <row r="341">
      <c r="A341" s="273"/>
      <c r="B341" s="273"/>
      <c r="C341" s="273"/>
      <c r="D341" s="273"/>
      <c r="E341" s="273"/>
      <c r="F341" s="273"/>
      <c r="G341" s="273"/>
      <c r="H341" s="273"/>
      <c r="I341" s="273"/>
    </row>
    <row r="342">
      <c r="A342" s="273"/>
      <c r="B342" s="273"/>
      <c r="C342" s="273"/>
      <c r="D342" s="273"/>
      <c r="E342" s="273"/>
      <c r="F342" s="273"/>
      <c r="G342" s="273"/>
      <c r="H342" s="273"/>
      <c r="I342" s="273"/>
    </row>
    <row r="343">
      <c r="A343" s="273"/>
      <c r="B343" s="273"/>
      <c r="C343" s="273"/>
      <c r="D343" s="273"/>
      <c r="E343" s="273"/>
      <c r="F343" s="273"/>
      <c r="G343" s="273"/>
      <c r="H343" s="273"/>
      <c r="I343" s="273"/>
    </row>
    <row r="344">
      <c r="A344" s="273"/>
      <c r="B344" s="273"/>
      <c r="C344" s="273"/>
      <c r="D344" s="273"/>
      <c r="E344" s="273"/>
      <c r="F344" s="273"/>
      <c r="G344" s="273"/>
      <c r="H344" s="273"/>
      <c r="I344" s="273"/>
    </row>
    <row r="345">
      <c r="A345" s="273"/>
      <c r="B345" s="273"/>
      <c r="C345" s="273"/>
      <c r="D345" s="273"/>
      <c r="E345" s="273"/>
      <c r="F345" s="273"/>
      <c r="G345" s="273"/>
      <c r="H345" s="273"/>
      <c r="I345" s="273"/>
    </row>
    <row r="346">
      <c r="A346" s="273"/>
      <c r="B346" s="273"/>
      <c r="C346" s="273"/>
      <c r="D346" s="273"/>
      <c r="E346" s="273"/>
      <c r="F346" s="273"/>
      <c r="G346" s="273"/>
      <c r="H346" s="273"/>
      <c r="I346" s="273"/>
    </row>
    <row r="347">
      <c r="A347" s="273"/>
      <c r="B347" s="273"/>
      <c r="C347" s="273"/>
      <c r="D347" s="273"/>
      <c r="E347" s="273"/>
      <c r="F347" s="273"/>
      <c r="G347" s="273"/>
      <c r="H347" s="273"/>
      <c r="I347" s="273"/>
    </row>
    <row r="348">
      <c r="A348" s="273"/>
      <c r="B348" s="273"/>
      <c r="C348" s="273"/>
      <c r="D348" s="273"/>
      <c r="E348" s="273"/>
      <c r="F348" s="273"/>
      <c r="G348" s="273"/>
      <c r="H348" s="273"/>
      <c r="I348" s="273"/>
    </row>
    <row r="349">
      <c r="A349" s="273"/>
      <c r="B349" s="273"/>
      <c r="C349" s="273"/>
      <c r="D349" s="273"/>
      <c r="E349" s="273"/>
      <c r="F349" s="273"/>
      <c r="G349" s="273"/>
      <c r="H349" s="273"/>
      <c r="I349" s="273"/>
    </row>
    <row r="350">
      <c r="A350" s="273"/>
      <c r="B350" s="273"/>
      <c r="C350" s="273"/>
      <c r="D350" s="273"/>
      <c r="E350" s="273"/>
      <c r="F350" s="273"/>
      <c r="G350" s="273"/>
      <c r="H350" s="273"/>
      <c r="I350" s="273"/>
    </row>
    <row r="351">
      <c r="A351" s="273"/>
      <c r="B351" s="273"/>
      <c r="C351" s="273"/>
      <c r="D351" s="273"/>
      <c r="E351" s="273"/>
      <c r="F351" s="273"/>
      <c r="G351" s="273"/>
      <c r="H351" s="273"/>
      <c r="I351" s="273"/>
    </row>
    <row r="352">
      <c r="A352" s="273"/>
      <c r="B352" s="273"/>
      <c r="C352" s="273"/>
      <c r="D352" s="273"/>
      <c r="E352" s="273"/>
      <c r="F352" s="273"/>
      <c r="G352" s="273"/>
      <c r="H352" s="273"/>
      <c r="I352" s="273"/>
    </row>
    <row r="353">
      <c r="A353" s="273"/>
      <c r="B353" s="273"/>
      <c r="C353" s="273"/>
      <c r="D353" s="273"/>
      <c r="E353" s="273"/>
      <c r="F353" s="273"/>
      <c r="G353" s="273"/>
      <c r="H353" s="273"/>
      <c r="I353" s="273"/>
    </row>
    <row r="354">
      <c r="A354" s="273"/>
      <c r="B354" s="273"/>
      <c r="C354" s="273"/>
      <c r="D354" s="273"/>
      <c r="E354" s="273"/>
      <c r="F354" s="273"/>
      <c r="G354" s="273"/>
      <c r="H354" s="273"/>
      <c r="I354" s="273"/>
    </row>
    <row r="355">
      <c r="A355" s="273"/>
      <c r="B355" s="273"/>
      <c r="C355" s="273"/>
      <c r="D355" s="273"/>
      <c r="E355" s="273"/>
      <c r="F355" s="273"/>
      <c r="G355" s="273"/>
      <c r="H355" s="273"/>
      <c r="I355" s="273"/>
    </row>
    <row r="356">
      <c r="A356" s="273"/>
      <c r="B356" s="273"/>
      <c r="C356" s="273"/>
      <c r="D356" s="273"/>
      <c r="E356" s="273"/>
      <c r="F356" s="273"/>
      <c r="G356" s="273"/>
      <c r="H356" s="273"/>
      <c r="I356" s="273"/>
    </row>
    <row r="357">
      <c r="A357" s="273"/>
      <c r="B357" s="273"/>
      <c r="C357" s="273"/>
      <c r="D357" s="273"/>
      <c r="E357" s="273"/>
      <c r="F357" s="273"/>
      <c r="G357" s="273"/>
      <c r="H357" s="273"/>
      <c r="I357" s="273"/>
    </row>
    <row r="358">
      <c r="A358" s="273"/>
      <c r="B358" s="273"/>
      <c r="C358" s="273"/>
      <c r="D358" s="273"/>
      <c r="E358" s="273"/>
      <c r="F358" s="273"/>
      <c r="G358" s="273"/>
      <c r="H358" s="273"/>
      <c r="I358" s="273"/>
    </row>
    <row r="359">
      <c r="A359" s="273"/>
      <c r="B359" s="273"/>
      <c r="C359" s="273"/>
      <c r="D359" s="273"/>
      <c r="E359" s="273"/>
      <c r="F359" s="273"/>
      <c r="G359" s="273"/>
      <c r="H359" s="273"/>
      <c r="I359" s="273"/>
    </row>
    <row r="360">
      <c r="A360" s="273"/>
      <c r="B360" s="273"/>
      <c r="C360" s="273"/>
      <c r="D360" s="273"/>
      <c r="E360" s="273"/>
      <c r="F360" s="273"/>
      <c r="G360" s="273"/>
      <c r="H360" s="273"/>
      <c r="I360" s="273"/>
    </row>
    <row r="361">
      <c r="A361" s="273"/>
      <c r="B361" s="273"/>
      <c r="C361" s="273"/>
      <c r="D361" s="273"/>
      <c r="E361" s="273"/>
      <c r="F361" s="273"/>
      <c r="G361" s="273"/>
      <c r="H361" s="273"/>
      <c r="I361" s="273"/>
    </row>
    <row r="362">
      <c r="A362" s="273"/>
      <c r="B362" s="273"/>
      <c r="C362" s="273"/>
      <c r="D362" s="273"/>
      <c r="E362" s="273"/>
      <c r="F362" s="273"/>
      <c r="G362" s="273"/>
      <c r="H362" s="273"/>
      <c r="I362" s="273"/>
    </row>
    <row r="363">
      <c r="A363" s="273"/>
      <c r="B363" s="273"/>
      <c r="C363" s="273"/>
      <c r="D363" s="273"/>
      <c r="E363" s="273"/>
      <c r="F363" s="273"/>
      <c r="G363" s="273"/>
      <c r="H363" s="273"/>
      <c r="I363" s="273"/>
    </row>
    <row r="364">
      <c r="A364" s="273"/>
      <c r="B364" s="273"/>
      <c r="C364" s="273"/>
      <c r="D364" s="273"/>
      <c r="E364" s="273"/>
      <c r="F364" s="273"/>
      <c r="G364" s="273"/>
      <c r="H364" s="273"/>
      <c r="I364" s="273"/>
    </row>
    <row r="365">
      <c r="A365" s="273"/>
      <c r="B365" s="273"/>
      <c r="C365" s="273"/>
      <c r="D365" s="273"/>
      <c r="E365" s="273"/>
      <c r="F365" s="273"/>
      <c r="G365" s="273"/>
      <c r="H365" s="273"/>
      <c r="I365" s="273"/>
    </row>
    <row r="366">
      <c r="A366" s="273"/>
      <c r="B366" s="273"/>
      <c r="C366" s="273"/>
      <c r="D366" s="273"/>
      <c r="E366" s="273"/>
      <c r="F366" s="273"/>
      <c r="G366" s="273"/>
      <c r="H366" s="273"/>
      <c r="I366" s="273"/>
    </row>
    <row r="367">
      <c r="A367" s="273"/>
      <c r="B367" s="273"/>
      <c r="C367" s="273"/>
      <c r="D367" s="273"/>
      <c r="E367" s="273"/>
      <c r="F367" s="273"/>
      <c r="G367" s="273"/>
      <c r="H367" s="273"/>
      <c r="I367" s="273"/>
    </row>
    <row r="368">
      <c r="A368" s="273"/>
      <c r="B368" s="273"/>
      <c r="C368" s="273"/>
      <c r="D368" s="273"/>
      <c r="E368" s="273"/>
      <c r="F368" s="273"/>
      <c r="G368" s="273"/>
      <c r="H368" s="273"/>
      <c r="I368" s="273"/>
    </row>
    <row r="369">
      <c r="A369" s="273"/>
      <c r="B369" s="273"/>
      <c r="C369" s="273"/>
      <c r="D369" s="273"/>
      <c r="E369" s="273"/>
      <c r="F369" s="273"/>
      <c r="G369" s="273"/>
      <c r="H369" s="273"/>
      <c r="I369" s="273"/>
    </row>
    <row r="370">
      <c r="A370" s="273"/>
      <c r="B370" s="273"/>
      <c r="C370" s="273"/>
      <c r="D370" s="273"/>
      <c r="E370" s="273"/>
      <c r="F370" s="273"/>
      <c r="G370" s="273"/>
      <c r="H370" s="273"/>
      <c r="I370" s="273"/>
    </row>
    <row r="371">
      <c r="A371" s="273"/>
      <c r="B371" s="273"/>
      <c r="C371" s="273"/>
      <c r="D371" s="273"/>
      <c r="E371" s="273"/>
      <c r="F371" s="273"/>
      <c r="G371" s="273"/>
      <c r="H371" s="273"/>
      <c r="I371" s="273"/>
    </row>
    <row r="372">
      <c r="A372" s="273"/>
      <c r="B372" s="273"/>
      <c r="C372" s="273"/>
      <c r="D372" s="273"/>
      <c r="E372" s="273"/>
      <c r="F372" s="273"/>
      <c r="G372" s="273"/>
      <c r="H372" s="273"/>
      <c r="I372" s="273"/>
    </row>
    <row r="373">
      <c r="A373" s="273"/>
      <c r="B373" s="273"/>
      <c r="C373" s="273"/>
      <c r="D373" s="273"/>
      <c r="E373" s="273"/>
      <c r="F373" s="273"/>
      <c r="G373" s="273"/>
      <c r="H373" s="273"/>
      <c r="I373" s="273"/>
    </row>
    <row r="374">
      <c r="A374" s="273"/>
      <c r="B374" s="273"/>
      <c r="C374" s="273"/>
      <c r="D374" s="273"/>
      <c r="E374" s="273"/>
      <c r="F374" s="273"/>
      <c r="G374" s="273"/>
      <c r="H374" s="273"/>
      <c r="I374" s="273"/>
    </row>
    <row r="375">
      <c r="A375" s="273"/>
      <c r="B375" s="273"/>
      <c r="C375" s="273"/>
      <c r="D375" s="273"/>
      <c r="E375" s="273"/>
      <c r="F375" s="273"/>
      <c r="G375" s="273"/>
      <c r="H375" s="273"/>
      <c r="I375" s="273"/>
    </row>
    <row r="376">
      <c r="A376" s="273"/>
      <c r="B376" s="273"/>
      <c r="C376" s="273"/>
      <c r="D376" s="273"/>
      <c r="E376" s="273"/>
      <c r="F376" s="273"/>
      <c r="G376" s="273"/>
      <c r="H376" s="273"/>
      <c r="I376" s="273"/>
    </row>
    <row r="377">
      <c r="A377" s="273"/>
      <c r="B377" s="273"/>
      <c r="C377" s="273"/>
      <c r="D377" s="273"/>
      <c r="E377" s="273"/>
      <c r="F377" s="273"/>
      <c r="G377" s="273"/>
      <c r="H377" s="273"/>
      <c r="I377" s="273"/>
    </row>
    <row r="378">
      <c r="A378" s="273"/>
      <c r="B378" s="273"/>
      <c r="C378" s="273"/>
      <c r="D378" s="273"/>
      <c r="E378" s="273"/>
      <c r="F378" s="273"/>
      <c r="G378" s="273"/>
      <c r="H378" s="273"/>
      <c r="I378" s="273"/>
    </row>
    <row r="379">
      <c r="A379" s="273"/>
      <c r="B379" s="273"/>
      <c r="C379" s="273"/>
      <c r="D379" s="273"/>
      <c r="E379" s="273"/>
      <c r="F379" s="273"/>
      <c r="G379" s="273"/>
      <c r="H379" s="273"/>
      <c r="I379" s="273"/>
    </row>
    <row r="380">
      <c r="A380" s="273"/>
      <c r="B380" s="273"/>
      <c r="C380" s="273"/>
      <c r="D380" s="273"/>
      <c r="E380" s="273"/>
      <c r="F380" s="273"/>
      <c r="G380" s="273"/>
      <c r="H380" s="273"/>
      <c r="I380" s="273"/>
    </row>
    <row r="381">
      <c r="A381" s="273"/>
      <c r="B381" s="273"/>
      <c r="C381" s="273"/>
      <c r="D381" s="273"/>
      <c r="E381" s="273"/>
      <c r="F381" s="273"/>
      <c r="G381" s="273"/>
      <c r="H381" s="273"/>
      <c r="I381" s="273"/>
    </row>
    <row r="382">
      <c r="A382" s="273"/>
      <c r="B382" s="273"/>
      <c r="C382" s="273"/>
      <c r="D382" s="273"/>
      <c r="E382" s="273"/>
      <c r="F382" s="273"/>
      <c r="G382" s="273"/>
      <c r="H382" s="273"/>
      <c r="I382" s="273"/>
    </row>
    <row r="383">
      <c r="A383" s="273"/>
      <c r="B383" s="273"/>
      <c r="C383" s="273"/>
      <c r="D383" s="273"/>
      <c r="E383" s="273"/>
      <c r="F383" s="273"/>
      <c r="G383" s="273"/>
      <c r="H383" s="273"/>
      <c r="I383" s="273"/>
    </row>
    <row r="384">
      <c r="A384" s="273"/>
      <c r="B384" s="273"/>
      <c r="C384" s="273"/>
      <c r="D384" s="273"/>
      <c r="E384" s="273"/>
      <c r="F384" s="273"/>
      <c r="G384" s="273"/>
      <c r="H384" s="273"/>
      <c r="I384" s="273"/>
    </row>
    <row r="385">
      <c r="A385" s="273"/>
      <c r="B385" s="273"/>
      <c r="C385" s="273"/>
      <c r="D385" s="273"/>
      <c r="E385" s="273"/>
      <c r="F385" s="273"/>
      <c r="G385" s="273"/>
      <c r="H385" s="273"/>
      <c r="I385" s="273"/>
    </row>
    <row r="386">
      <c r="A386" s="273"/>
      <c r="B386" s="273"/>
      <c r="C386" s="273"/>
      <c r="D386" s="273"/>
      <c r="E386" s="273"/>
      <c r="F386" s="273"/>
      <c r="G386" s="273"/>
      <c r="H386" s="273"/>
      <c r="I386" s="273"/>
    </row>
    <row r="387">
      <c r="A387" s="273"/>
      <c r="B387" s="273"/>
      <c r="C387" s="273"/>
      <c r="D387" s="273"/>
      <c r="E387" s="273"/>
      <c r="F387" s="273"/>
      <c r="G387" s="273"/>
      <c r="H387" s="273"/>
      <c r="I387" s="273"/>
    </row>
    <row r="388">
      <c r="A388" s="273"/>
      <c r="B388" s="273"/>
      <c r="C388" s="273"/>
      <c r="D388" s="273"/>
      <c r="E388" s="273"/>
      <c r="F388" s="273"/>
      <c r="G388" s="273"/>
      <c r="H388" s="273"/>
      <c r="I388" s="273"/>
    </row>
    <row r="389">
      <c r="A389" s="273"/>
      <c r="B389" s="273"/>
      <c r="C389" s="273"/>
      <c r="D389" s="273"/>
      <c r="E389" s="273"/>
      <c r="F389" s="273"/>
      <c r="G389" s="273"/>
      <c r="H389" s="273"/>
      <c r="I389" s="273"/>
    </row>
    <row r="390">
      <c r="A390" s="273"/>
      <c r="B390" s="273"/>
      <c r="C390" s="273"/>
      <c r="D390" s="273"/>
      <c r="E390" s="273"/>
      <c r="F390" s="273"/>
      <c r="G390" s="273"/>
      <c r="H390" s="273"/>
      <c r="I390" s="273"/>
    </row>
    <row r="391">
      <c r="A391" s="273"/>
      <c r="B391" s="273"/>
      <c r="C391" s="273"/>
      <c r="D391" s="273"/>
      <c r="E391" s="273"/>
      <c r="F391" s="273"/>
      <c r="G391" s="273"/>
      <c r="H391" s="273"/>
      <c r="I391" s="273"/>
    </row>
    <row r="392">
      <c r="A392" s="273"/>
      <c r="B392" s="273"/>
      <c r="C392" s="273"/>
      <c r="D392" s="273"/>
      <c r="E392" s="273"/>
      <c r="F392" s="273"/>
      <c r="G392" s="273"/>
      <c r="H392" s="273"/>
      <c r="I392" s="273"/>
    </row>
    <row r="393">
      <c r="A393" s="273"/>
      <c r="B393" s="273"/>
      <c r="C393" s="273"/>
      <c r="D393" s="273"/>
      <c r="E393" s="273"/>
      <c r="F393" s="273"/>
      <c r="G393" s="273"/>
      <c r="H393" s="273"/>
      <c r="I393" s="273"/>
    </row>
    <row r="394">
      <c r="A394" s="273"/>
      <c r="B394" s="273"/>
      <c r="C394" s="273"/>
      <c r="D394" s="273"/>
      <c r="E394" s="273"/>
      <c r="F394" s="273"/>
      <c r="G394" s="273"/>
      <c r="H394" s="273"/>
      <c r="I394" s="273"/>
    </row>
    <row r="395">
      <c r="A395" s="273"/>
      <c r="B395" s="273"/>
      <c r="C395" s="273"/>
      <c r="D395" s="273"/>
      <c r="E395" s="273"/>
      <c r="F395" s="273"/>
      <c r="G395" s="273"/>
      <c r="H395" s="273"/>
      <c r="I395" s="273"/>
    </row>
    <row r="396">
      <c r="A396" s="273"/>
      <c r="B396" s="273"/>
      <c r="C396" s="273"/>
      <c r="D396" s="273"/>
      <c r="E396" s="273"/>
      <c r="F396" s="273"/>
      <c r="G396" s="273"/>
      <c r="H396" s="273"/>
      <c r="I396" s="273"/>
    </row>
    <row r="397">
      <c r="A397" s="273"/>
      <c r="B397" s="273"/>
      <c r="C397" s="273"/>
      <c r="D397" s="273"/>
      <c r="E397" s="273"/>
      <c r="F397" s="273"/>
      <c r="G397" s="273"/>
      <c r="H397" s="273"/>
      <c r="I397" s="273"/>
    </row>
    <row r="398">
      <c r="A398" s="273"/>
      <c r="B398" s="273"/>
      <c r="C398" s="273"/>
      <c r="D398" s="273"/>
      <c r="E398" s="273"/>
      <c r="F398" s="273"/>
      <c r="G398" s="273"/>
      <c r="H398" s="273"/>
      <c r="I398" s="273"/>
    </row>
    <row r="399">
      <c r="A399" s="273"/>
      <c r="B399" s="273"/>
      <c r="C399" s="273"/>
      <c r="D399" s="273"/>
      <c r="E399" s="273"/>
      <c r="F399" s="273"/>
      <c r="G399" s="273"/>
      <c r="H399" s="273"/>
      <c r="I399" s="273"/>
    </row>
    <row r="400">
      <c r="A400" s="273"/>
      <c r="B400" s="273"/>
      <c r="C400" s="273"/>
      <c r="D400" s="273"/>
      <c r="E400" s="273"/>
      <c r="F400" s="273"/>
      <c r="G400" s="273"/>
      <c r="H400" s="273"/>
      <c r="I400" s="273"/>
    </row>
    <row r="401">
      <c r="A401" s="273"/>
      <c r="B401" s="273"/>
      <c r="C401" s="273"/>
      <c r="D401" s="273"/>
      <c r="E401" s="273"/>
      <c r="F401" s="273"/>
      <c r="G401" s="273"/>
      <c r="H401" s="273"/>
      <c r="I401" s="273"/>
    </row>
    <row r="402">
      <c r="A402" s="273"/>
      <c r="B402" s="273"/>
      <c r="C402" s="273"/>
      <c r="D402" s="273"/>
      <c r="E402" s="273"/>
      <c r="F402" s="273"/>
      <c r="G402" s="273"/>
      <c r="H402" s="273"/>
      <c r="I402" s="273"/>
    </row>
    <row r="403">
      <c r="A403" s="273"/>
      <c r="B403" s="273"/>
      <c r="C403" s="273"/>
      <c r="D403" s="273"/>
      <c r="E403" s="273"/>
      <c r="F403" s="273"/>
      <c r="G403" s="273"/>
      <c r="H403" s="273"/>
      <c r="I403" s="273"/>
    </row>
    <row r="404">
      <c r="A404" s="273"/>
      <c r="B404" s="273"/>
      <c r="C404" s="273"/>
      <c r="D404" s="273"/>
      <c r="E404" s="273"/>
      <c r="F404" s="273"/>
      <c r="G404" s="273"/>
      <c r="H404" s="273"/>
      <c r="I404" s="273"/>
    </row>
    <row r="405">
      <c r="A405" s="273"/>
      <c r="B405" s="273"/>
      <c r="C405" s="273"/>
      <c r="D405" s="273"/>
      <c r="E405" s="273"/>
      <c r="F405" s="273"/>
      <c r="G405" s="273"/>
      <c r="H405" s="273"/>
      <c r="I405" s="273"/>
    </row>
    <row r="406">
      <c r="A406" s="273"/>
      <c r="B406" s="273"/>
      <c r="C406" s="273"/>
      <c r="D406" s="273"/>
      <c r="E406" s="273"/>
      <c r="F406" s="273"/>
      <c r="G406" s="273"/>
      <c r="H406" s="273"/>
      <c r="I406" s="273"/>
    </row>
    <row r="407">
      <c r="A407" s="273"/>
      <c r="B407" s="273"/>
      <c r="C407" s="273"/>
      <c r="D407" s="273"/>
      <c r="E407" s="273"/>
      <c r="F407" s="273"/>
      <c r="G407" s="273"/>
      <c r="H407" s="273"/>
      <c r="I407" s="273"/>
    </row>
    <row r="408">
      <c r="A408" s="273"/>
      <c r="B408" s="273"/>
      <c r="C408" s="273"/>
      <c r="D408" s="273"/>
      <c r="E408" s="273"/>
      <c r="F408" s="273"/>
      <c r="G408" s="273"/>
      <c r="H408" s="273"/>
      <c r="I408" s="273"/>
    </row>
    <row r="409">
      <c r="A409" s="273"/>
      <c r="B409" s="273"/>
      <c r="C409" s="273"/>
      <c r="D409" s="273"/>
      <c r="E409" s="273"/>
      <c r="F409" s="273"/>
      <c r="G409" s="273"/>
      <c r="H409" s="273"/>
      <c r="I409" s="273"/>
    </row>
    <row r="410">
      <c r="A410" s="273"/>
      <c r="B410" s="273"/>
      <c r="C410" s="273"/>
      <c r="D410" s="273"/>
      <c r="E410" s="273"/>
      <c r="F410" s="273"/>
      <c r="G410" s="273"/>
      <c r="H410" s="273"/>
      <c r="I410" s="273"/>
    </row>
    <row r="411">
      <c r="A411" s="273"/>
      <c r="B411" s="273"/>
      <c r="C411" s="273"/>
      <c r="D411" s="273"/>
      <c r="E411" s="273"/>
      <c r="F411" s="273"/>
      <c r="G411" s="273"/>
      <c r="H411" s="273"/>
      <c r="I411" s="273"/>
    </row>
    <row r="412">
      <c r="A412" s="273"/>
      <c r="B412" s="273"/>
      <c r="C412" s="273"/>
      <c r="D412" s="273"/>
      <c r="E412" s="273"/>
      <c r="F412" s="273"/>
      <c r="G412" s="273"/>
      <c r="H412" s="273"/>
      <c r="I412" s="273"/>
    </row>
    <row r="413">
      <c r="A413" s="273"/>
      <c r="B413" s="273"/>
      <c r="C413" s="273"/>
      <c r="D413" s="273"/>
      <c r="E413" s="273"/>
      <c r="F413" s="273"/>
      <c r="G413" s="273"/>
      <c r="H413" s="273"/>
      <c r="I413" s="273"/>
    </row>
    <row r="414">
      <c r="A414" s="273"/>
      <c r="B414" s="273"/>
      <c r="C414" s="273"/>
      <c r="D414" s="273"/>
      <c r="E414" s="273"/>
      <c r="F414" s="273"/>
      <c r="G414" s="273"/>
      <c r="H414" s="273"/>
      <c r="I414" s="273"/>
    </row>
    <row r="415">
      <c r="A415" s="273"/>
      <c r="B415" s="273"/>
      <c r="C415" s="273"/>
      <c r="D415" s="273"/>
      <c r="E415" s="273"/>
      <c r="F415" s="273"/>
      <c r="G415" s="273"/>
      <c r="H415" s="273"/>
      <c r="I415" s="273"/>
    </row>
    <row r="416">
      <c r="A416" s="273"/>
      <c r="B416" s="273"/>
      <c r="C416" s="273"/>
      <c r="D416" s="273"/>
      <c r="E416" s="273"/>
      <c r="F416" s="273"/>
      <c r="G416" s="273"/>
      <c r="H416" s="273"/>
      <c r="I416" s="273"/>
    </row>
    <row r="417">
      <c r="A417" s="273"/>
      <c r="B417" s="273"/>
      <c r="C417" s="273"/>
      <c r="D417" s="273"/>
      <c r="E417" s="273"/>
      <c r="F417" s="273"/>
      <c r="G417" s="273"/>
      <c r="H417" s="273"/>
      <c r="I417" s="273"/>
    </row>
    <row r="418">
      <c r="A418" s="273"/>
      <c r="B418" s="273"/>
      <c r="C418" s="273"/>
      <c r="D418" s="273"/>
      <c r="E418" s="273"/>
      <c r="F418" s="273"/>
      <c r="G418" s="273"/>
      <c r="H418" s="273"/>
      <c r="I418" s="273"/>
    </row>
    <row r="419">
      <c r="A419" s="273"/>
      <c r="B419" s="273"/>
      <c r="C419" s="273"/>
      <c r="D419" s="273"/>
      <c r="E419" s="273"/>
      <c r="F419" s="273"/>
      <c r="G419" s="273"/>
      <c r="H419" s="273"/>
      <c r="I419" s="273"/>
    </row>
    <row r="420">
      <c r="A420" s="273"/>
      <c r="B420" s="273"/>
      <c r="C420" s="273"/>
      <c r="D420" s="273"/>
      <c r="E420" s="273"/>
      <c r="F420" s="273"/>
      <c r="G420" s="273"/>
      <c r="H420" s="273"/>
      <c r="I420" s="273"/>
    </row>
    <row r="421">
      <c r="A421" s="273"/>
      <c r="B421" s="273"/>
      <c r="C421" s="273"/>
      <c r="D421" s="273"/>
      <c r="E421" s="273"/>
      <c r="F421" s="273"/>
      <c r="G421" s="273"/>
      <c r="H421" s="273"/>
      <c r="I421" s="273"/>
    </row>
    <row r="422">
      <c r="A422" s="273"/>
      <c r="B422" s="273"/>
      <c r="C422" s="273"/>
      <c r="D422" s="273"/>
      <c r="E422" s="273"/>
      <c r="F422" s="273"/>
      <c r="G422" s="273"/>
      <c r="H422" s="273"/>
      <c r="I422" s="273"/>
    </row>
    <row r="423">
      <c r="A423" s="273"/>
      <c r="B423" s="273"/>
      <c r="C423" s="273"/>
      <c r="D423" s="273"/>
      <c r="E423" s="273"/>
      <c r="F423" s="273"/>
      <c r="G423" s="273"/>
      <c r="H423" s="273"/>
      <c r="I423" s="273"/>
    </row>
    <row r="424">
      <c r="A424" s="273"/>
      <c r="B424" s="273"/>
      <c r="C424" s="273"/>
      <c r="D424" s="273"/>
      <c r="E424" s="273"/>
      <c r="F424" s="273"/>
      <c r="G424" s="273"/>
      <c r="H424" s="273"/>
      <c r="I424" s="273"/>
    </row>
    <row r="425">
      <c r="A425" s="273"/>
      <c r="B425" s="273"/>
      <c r="C425" s="273"/>
      <c r="D425" s="273"/>
      <c r="E425" s="273"/>
      <c r="F425" s="273"/>
      <c r="G425" s="273"/>
      <c r="H425" s="273"/>
      <c r="I425" s="273"/>
    </row>
    <row r="426">
      <c r="A426" s="273"/>
      <c r="B426" s="273"/>
      <c r="C426" s="273"/>
      <c r="D426" s="273"/>
      <c r="E426" s="273"/>
      <c r="F426" s="273"/>
      <c r="G426" s="273"/>
      <c r="H426" s="273"/>
      <c r="I426" s="273"/>
    </row>
    <row r="427">
      <c r="A427" s="273"/>
      <c r="B427" s="273"/>
      <c r="C427" s="273"/>
      <c r="D427" s="273"/>
      <c r="E427" s="273"/>
      <c r="F427" s="273"/>
      <c r="G427" s="273"/>
      <c r="H427" s="273"/>
      <c r="I427" s="273"/>
    </row>
    <row r="428">
      <c r="A428" s="273"/>
      <c r="B428" s="273"/>
      <c r="C428" s="273"/>
      <c r="D428" s="273"/>
      <c r="E428" s="273"/>
      <c r="F428" s="273"/>
      <c r="G428" s="273"/>
      <c r="H428" s="273"/>
      <c r="I428" s="273"/>
    </row>
    <row r="429">
      <c r="A429" s="273"/>
      <c r="B429" s="273"/>
      <c r="C429" s="273"/>
      <c r="D429" s="273"/>
      <c r="E429" s="273"/>
      <c r="F429" s="273"/>
      <c r="G429" s="273"/>
      <c r="H429" s="273"/>
      <c r="I429" s="273"/>
    </row>
    <row r="430">
      <c r="A430" s="273"/>
      <c r="B430" s="273"/>
      <c r="C430" s="273"/>
      <c r="D430" s="273"/>
      <c r="E430" s="273"/>
      <c r="F430" s="273"/>
      <c r="G430" s="273"/>
      <c r="H430" s="273"/>
      <c r="I430" s="273"/>
    </row>
    <row r="431">
      <c r="A431" s="273"/>
      <c r="B431" s="273"/>
      <c r="C431" s="273"/>
      <c r="D431" s="273"/>
      <c r="E431" s="273"/>
      <c r="F431" s="273"/>
      <c r="G431" s="273"/>
      <c r="H431" s="273"/>
      <c r="I431" s="273"/>
    </row>
    <row r="432">
      <c r="A432" s="273"/>
      <c r="B432" s="273"/>
      <c r="C432" s="273"/>
      <c r="D432" s="273"/>
      <c r="E432" s="273"/>
      <c r="F432" s="273"/>
      <c r="G432" s="273"/>
      <c r="H432" s="273"/>
      <c r="I432" s="273"/>
    </row>
    <row r="433">
      <c r="A433" s="273"/>
      <c r="B433" s="273"/>
      <c r="C433" s="273"/>
      <c r="D433" s="273"/>
      <c r="E433" s="273"/>
      <c r="F433" s="273"/>
      <c r="G433" s="273"/>
      <c r="H433" s="273"/>
      <c r="I433" s="273"/>
    </row>
    <row r="434">
      <c r="A434" s="273"/>
      <c r="B434" s="273"/>
      <c r="C434" s="273"/>
      <c r="D434" s="273"/>
      <c r="E434" s="273"/>
      <c r="F434" s="273"/>
      <c r="G434" s="273"/>
      <c r="H434" s="273"/>
      <c r="I434" s="273"/>
    </row>
    <row r="435">
      <c r="A435" s="273"/>
      <c r="B435" s="273"/>
      <c r="C435" s="273"/>
      <c r="D435" s="273"/>
      <c r="E435" s="273"/>
      <c r="F435" s="273"/>
      <c r="G435" s="273"/>
      <c r="H435" s="273"/>
      <c r="I435" s="273"/>
    </row>
    <row r="436">
      <c r="A436" s="273"/>
      <c r="B436" s="273"/>
      <c r="C436" s="273"/>
      <c r="D436" s="273"/>
      <c r="E436" s="273"/>
      <c r="F436" s="273"/>
      <c r="G436" s="273"/>
      <c r="H436" s="273"/>
      <c r="I436" s="273"/>
    </row>
    <row r="437">
      <c r="A437" s="273"/>
      <c r="B437" s="273"/>
      <c r="C437" s="273"/>
      <c r="D437" s="273"/>
      <c r="E437" s="273"/>
      <c r="F437" s="273"/>
      <c r="G437" s="273"/>
      <c r="H437" s="273"/>
      <c r="I437" s="273"/>
    </row>
    <row r="438">
      <c r="A438" s="273"/>
      <c r="B438" s="273"/>
      <c r="C438" s="273"/>
      <c r="D438" s="273"/>
      <c r="E438" s="273"/>
      <c r="F438" s="273"/>
      <c r="G438" s="273"/>
      <c r="H438" s="273"/>
      <c r="I438" s="273"/>
    </row>
    <row r="439">
      <c r="A439" s="273"/>
      <c r="B439" s="273"/>
      <c r="C439" s="273"/>
      <c r="D439" s="273"/>
      <c r="E439" s="273"/>
      <c r="F439" s="273"/>
      <c r="G439" s="273"/>
      <c r="H439" s="273"/>
      <c r="I439" s="273"/>
    </row>
    <row r="440">
      <c r="A440" s="273"/>
      <c r="B440" s="273"/>
      <c r="C440" s="273"/>
      <c r="D440" s="273"/>
      <c r="E440" s="273"/>
      <c r="F440" s="273"/>
      <c r="G440" s="273"/>
      <c r="H440" s="273"/>
      <c r="I440" s="273"/>
    </row>
    <row r="441">
      <c r="A441" s="273"/>
      <c r="B441" s="273"/>
      <c r="C441" s="273"/>
      <c r="D441" s="273"/>
      <c r="E441" s="273"/>
      <c r="F441" s="273"/>
      <c r="G441" s="273"/>
      <c r="H441" s="273"/>
      <c r="I441" s="273"/>
    </row>
    <row r="442">
      <c r="A442" s="273"/>
      <c r="B442" s="273"/>
      <c r="C442" s="273"/>
      <c r="D442" s="273"/>
      <c r="E442" s="273"/>
      <c r="F442" s="273"/>
      <c r="G442" s="273"/>
      <c r="H442" s="273"/>
      <c r="I442" s="273"/>
    </row>
    <row r="443">
      <c r="A443" s="273"/>
      <c r="B443" s="273"/>
      <c r="C443" s="273"/>
      <c r="D443" s="273"/>
      <c r="E443" s="273"/>
      <c r="F443" s="273"/>
      <c r="G443" s="273"/>
      <c r="H443" s="273"/>
      <c r="I443" s="273"/>
    </row>
    <row r="444">
      <c r="A444" s="273"/>
      <c r="B444" s="273"/>
      <c r="C444" s="273"/>
      <c r="D444" s="273"/>
      <c r="E444" s="273"/>
      <c r="F444" s="273"/>
      <c r="G444" s="273"/>
      <c r="H444" s="273"/>
      <c r="I444" s="273"/>
    </row>
    <row r="445">
      <c r="A445" s="273"/>
      <c r="B445" s="273"/>
      <c r="C445" s="273"/>
      <c r="D445" s="273"/>
      <c r="E445" s="273"/>
      <c r="F445" s="273"/>
      <c r="G445" s="273"/>
      <c r="H445" s="273"/>
      <c r="I445" s="273"/>
    </row>
    <row r="446">
      <c r="A446" s="273"/>
      <c r="B446" s="273"/>
      <c r="C446" s="273"/>
      <c r="D446" s="273"/>
      <c r="E446" s="273"/>
      <c r="F446" s="273"/>
      <c r="G446" s="273"/>
      <c r="H446" s="273"/>
      <c r="I446" s="273"/>
    </row>
    <row r="447">
      <c r="A447" s="273"/>
      <c r="B447" s="273"/>
      <c r="C447" s="273"/>
      <c r="D447" s="273"/>
      <c r="E447" s="273"/>
      <c r="F447" s="273"/>
      <c r="G447" s="273"/>
      <c r="H447" s="273"/>
      <c r="I447" s="273"/>
    </row>
    <row r="448">
      <c r="A448" s="273"/>
      <c r="B448" s="273"/>
      <c r="C448" s="273"/>
      <c r="D448" s="273"/>
      <c r="E448" s="273"/>
      <c r="F448" s="273"/>
      <c r="G448" s="273"/>
      <c r="H448" s="273"/>
      <c r="I448" s="273"/>
    </row>
    <row r="449">
      <c r="A449" s="273"/>
      <c r="B449" s="273"/>
      <c r="C449" s="273"/>
      <c r="D449" s="273"/>
      <c r="E449" s="273"/>
      <c r="F449" s="273"/>
      <c r="G449" s="273"/>
      <c r="H449" s="273"/>
      <c r="I449" s="273"/>
    </row>
    <row r="450">
      <c r="A450" s="273"/>
      <c r="B450" s="273"/>
      <c r="C450" s="273"/>
      <c r="D450" s="273"/>
      <c r="E450" s="273"/>
      <c r="F450" s="273"/>
      <c r="G450" s="273"/>
      <c r="H450" s="273"/>
      <c r="I450" s="273"/>
    </row>
    <row r="451">
      <c r="A451" s="273"/>
      <c r="B451" s="273"/>
      <c r="C451" s="273"/>
      <c r="D451" s="273"/>
      <c r="E451" s="273"/>
      <c r="F451" s="273"/>
      <c r="G451" s="273"/>
      <c r="H451" s="273"/>
      <c r="I451" s="273"/>
    </row>
    <row r="452">
      <c r="A452" s="273"/>
      <c r="B452" s="273"/>
      <c r="C452" s="273"/>
      <c r="D452" s="273"/>
      <c r="E452" s="273"/>
      <c r="F452" s="273"/>
      <c r="G452" s="273"/>
      <c r="H452" s="273"/>
      <c r="I452" s="273"/>
    </row>
    <row r="453">
      <c r="A453" s="273"/>
      <c r="B453" s="273"/>
      <c r="C453" s="273"/>
      <c r="D453" s="273"/>
      <c r="E453" s="273"/>
      <c r="F453" s="273"/>
      <c r="G453" s="273"/>
      <c r="H453" s="273"/>
      <c r="I453" s="273"/>
    </row>
    <row r="454">
      <c r="A454" s="273"/>
      <c r="B454" s="273"/>
      <c r="C454" s="273"/>
      <c r="D454" s="273"/>
      <c r="E454" s="273"/>
      <c r="F454" s="273"/>
      <c r="G454" s="273"/>
      <c r="H454" s="273"/>
      <c r="I454" s="273"/>
    </row>
    <row r="455">
      <c r="A455" s="273"/>
      <c r="B455" s="273"/>
      <c r="C455" s="273"/>
      <c r="D455" s="273"/>
      <c r="E455" s="273"/>
      <c r="F455" s="273"/>
      <c r="G455" s="273"/>
      <c r="H455" s="273"/>
      <c r="I455" s="273"/>
    </row>
    <row r="456">
      <c r="A456" s="273"/>
      <c r="B456" s="273"/>
      <c r="C456" s="273"/>
      <c r="D456" s="273"/>
      <c r="E456" s="273"/>
      <c r="F456" s="273"/>
      <c r="G456" s="273"/>
      <c r="H456" s="273"/>
      <c r="I456" s="273"/>
    </row>
    <row r="457">
      <c r="A457" s="273"/>
      <c r="B457" s="273"/>
      <c r="C457" s="273"/>
      <c r="D457" s="273"/>
      <c r="E457" s="273"/>
      <c r="F457" s="273"/>
      <c r="G457" s="273"/>
      <c r="H457" s="273"/>
      <c r="I457" s="273"/>
    </row>
    <row r="458">
      <c r="A458" s="273"/>
      <c r="B458" s="273"/>
      <c r="C458" s="273"/>
      <c r="D458" s="273"/>
      <c r="E458" s="273"/>
      <c r="F458" s="273"/>
      <c r="G458" s="273"/>
      <c r="H458" s="273"/>
      <c r="I458" s="273"/>
    </row>
    <row r="459">
      <c r="A459" s="273"/>
      <c r="B459" s="273"/>
      <c r="C459" s="273"/>
      <c r="D459" s="273"/>
      <c r="E459" s="273"/>
      <c r="F459" s="273"/>
      <c r="G459" s="273"/>
      <c r="H459" s="273"/>
      <c r="I459" s="273"/>
    </row>
    <row r="460">
      <c r="A460" s="273"/>
      <c r="B460" s="273"/>
      <c r="C460" s="273"/>
      <c r="D460" s="273"/>
      <c r="E460" s="273"/>
      <c r="F460" s="273"/>
      <c r="G460" s="273"/>
      <c r="H460" s="273"/>
      <c r="I460" s="273"/>
    </row>
    <row r="461">
      <c r="A461" s="273"/>
      <c r="B461" s="273"/>
      <c r="C461" s="273"/>
      <c r="D461" s="273"/>
      <c r="E461" s="273"/>
      <c r="F461" s="273"/>
      <c r="G461" s="273"/>
      <c r="H461" s="273"/>
      <c r="I461" s="273"/>
    </row>
    <row r="462">
      <c r="A462" s="273"/>
      <c r="B462" s="273"/>
      <c r="C462" s="273"/>
      <c r="D462" s="273"/>
      <c r="E462" s="273"/>
      <c r="F462" s="273"/>
      <c r="G462" s="273"/>
      <c r="H462" s="273"/>
      <c r="I462" s="273"/>
    </row>
    <row r="463">
      <c r="A463" s="273"/>
      <c r="B463" s="273"/>
      <c r="C463" s="273"/>
      <c r="D463" s="273"/>
      <c r="E463" s="273"/>
      <c r="F463" s="273"/>
      <c r="G463" s="273"/>
      <c r="H463" s="273"/>
      <c r="I463" s="273"/>
    </row>
    <row r="464">
      <c r="A464" s="273"/>
      <c r="B464" s="273"/>
      <c r="C464" s="273"/>
      <c r="D464" s="273"/>
      <c r="E464" s="273"/>
      <c r="F464" s="273"/>
      <c r="G464" s="273"/>
      <c r="H464" s="273"/>
      <c r="I464" s="273"/>
    </row>
    <row r="465">
      <c r="A465" s="273"/>
      <c r="B465" s="273"/>
      <c r="C465" s="273"/>
      <c r="D465" s="273"/>
      <c r="E465" s="273"/>
      <c r="F465" s="273"/>
      <c r="G465" s="273"/>
      <c r="H465" s="273"/>
      <c r="I465" s="273"/>
    </row>
    <row r="466">
      <c r="A466" s="273"/>
      <c r="B466" s="273"/>
      <c r="C466" s="273"/>
      <c r="D466" s="273"/>
      <c r="E466" s="273"/>
      <c r="F466" s="273"/>
      <c r="G466" s="273"/>
      <c r="H466" s="273"/>
      <c r="I466" s="273"/>
    </row>
    <row r="467">
      <c r="A467" s="273"/>
      <c r="B467" s="273"/>
      <c r="C467" s="273"/>
      <c r="D467" s="273"/>
      <c r="E467" s="273"/>
      <c r="F467" s="273"/>
      <c r="G467" s="273"/>
      <c r="H467" s="273"/>
      <c r="I467" s="273"/>
    </row>
    <row r="468">
      <c r="A468" s="273"/>
      <c r="B468" s="273"/>
      <c r="C468" s="273"/>
      <c r="D468" s="273"/>
      <c r="E468" s="273"/>
      <c r="F468" s="273"/>
      <c r="G468" s="273"/>
      <c r="H468" s="273"/>
      <c r="I468" s="273"/>
    </row>
    <row r="469">
      <c r="A469" s="273"/>
      <c r="B469" s="273"/>
      <c r="C469" s="273"/>
      <c r="D469" s="273"/>
      <c r="E469" s="273"/>
      <c r="F469" s="273"/>
      <c r="G469" s="273"/>
      <c r="H469" s="273"/>
      <c r="I469" s="273"/>
    </row>
    <row r="470">
      <c r="A470" s="273"/>
      <c r="B470" s="273"/>
      <c r="C470" s="273"/>
      <c r="D470" s="273"/>
      <c r="E470" s="273"/>
      <c r="F470" s="273"/>
      <c r="G470" s="273"/>
      <c r="H470" s="273"/>
      <c r="I470" s="273"/>
    </row>
    <row r="471">
      <c r="A471" s="273"/>
      <c r="B471" s="273"/>
      <c r="C471" s="273"/>
      <c r="D471" s="273"/>
      <c r="E471" s="273"/>
      <c r="F471" s="273"/>
      <c r="G471" s="273"/>
      <c r="H471" s="273"/>
      <c r="I471" s="273"/>
    </row>
    <row r="472">
      <c r="A472" s="273"/>
      <c r="B472" s="273"/>
      <c r="C472" s="273"/>
      <c r="D472" s="273"/>
      <c r="E472" s="273"/>
      <c r="F472" s="273"/>
      <c r="G472" s="273"/>
      <c r="H472" s="273"/>
      <c r="I472" s="273"/>
    </row>
    <row r="473">
      <c r="A473" s="273"/>
      <c r="B473" s="273"/>
      <c r="C473" s="273"/>
      <c r="D473" s="273"/>
      <c r="E473" s="273"/>
      <c r="F473" s="273"/>
      <c r="G473" s="273"/>
      <c r="H473" s="273"/>
      <c r="I473" s="273"/>
    </row>
    <row r="474">
      <c r="A474" s="273"/>
      <c r="B474" s="273"/>
      <c r="C474" s="273"/>
      <c r="D474" s="273"/>
      <c r="E474" s="273"/>
      <c r="F474" s="273"/>
      <c r="G474" s="273"/>
      <c r="H474" s="273"/>
      <c r="I474" s="273"/>
    </row>
    <row r="475">
      <c r="A475" s="273"/>
      <c r="B475" s="273"/>
      <c r="C475" s="273"/>
      <c r="D475" s="273"/>
      <c r="E475" s="273"/>
      <c r="F475" s="273"/>
      <c r="G475" s="273"/>
      <c r="H475" s="273"/>
      <c r="I475" s="273"/>
    </row>
    <row r="476">
      <c r="A476" s="273"/>
      <c r="B476" s="273"/>
      <c r="C476" s="273"/>
      <c r="D476" s="273"/>
      <c r="E476" s="273"/>
      <c r="F476" s="273"/>
      <c r="G476" s="273"/>
      <c r="H476" s="273"/>
      <c r="I476" s="273"/>
    </row>
    <row r="477">
      <c r="A477" s="273"/>
      <c r="B477" s="273"/>
      <c r="C477" s="273"/>
      <c r="D477" s="273"/>
      <c r="E477" s="273"/>
      <c r="F477" s="273"/>
      <c r="G477" s="273"/>
      <c r="H477" s="273"/>
      <c r="I477" s="273"/>
    </row>
    <row r="478">
      <c r="A478" s="273"/>
      <c r="B478" s="273"/>
      <c r="C478" s="273"/>
      <c r="D478" s="273"/>
      <c r="E478" s="273"/>
      <c r="F478" s="273"/>
      <c r="G478" s="273"/>
      <c r="H478" s="273"/>
      <c r="I478" s="273"/>
    </row>
    <row r="479">
      <c r="A479" s="273"/>
      <c r="B479" s="273"/>
      <c r="C479" s="273"/>
      <c r="D479" s="273"/>
      <c r="E479" s="273"/>
      <c r="F479" s="273"/>
      <c r="G479" s="273"/>
      <c r="H479" s="273"/>
      <c r="I479" s="273"/>
    </row>
    <row r="480">
      <c r="A480" s="273"/>
      <c r="B480" s="273"/>
      <c r="C480" s="273"/>
      <c r="D480" s="273"/>
      <c r="E480" s="273"/>
      <c r="F480" s="273"/>
      <c r="G480" s="273"/>
      <c r="H480" s="273"/>
      <c r="I480" s="273"/>
    </row>
    <row r="481">
      <c r="A481" s="273"/>
      <c r="B481" s="273"/>
      <c r="C481" s="273"/>
      <c r="D481" s="273"/>
      <c r="E481" s="273"/>
      <c r="F481" s="273"/>
      <c r="G481" s="273"/>
      <c r="H481" s="273"/>
      <c r="I481" s="273"/>
    </row>
    <row r="482">
      <c r="A482" s="273"/>
      <c r="B482" s="273"/>
      <c r="C482" s="273"/>
      <c r="D482" s="273"/>
      <c r="E482" s="273"/>
      <c r="F482" s="273"/>
      <c r="G482" s="273"/>
      <c r="H482" s="273"/>
      <c r="I482" s="273"/>
    </row>
    <row r="483">
      <c r="A483" s="273"/>
      <c r="B483" s="273"/>
      <c r="C483" s="273"/>
      <c r="D483" s="273"/>
      <c r="E483" s="273"/>
      <c r="F483" s="273"/>
      <c r="G483" s="273"/>
      <c r="H483" s="273"/>
      <c r="I483" s="273"/>
    </row>
    <row r="484">
      <c r="A484" s="273"/>
      <c r="B484" s="273"/>
      <c r="C484" s="273"/>
      <c r="D484" s="273"/>
      <c r="E484" s="273"/>
      <c r="F484" s="273"/>
      <c r="G484" s="273"/>
      <c r="H484" s="273"/>
      <c r="I484" s="273"/>
    </row>
    <row r="485">
      <c r="A485" s="273"/>
      <c r="B485" s="273"/>
      <c r="C485" s="273"/>
      <c r="D485" s="273"/>
      <c r="E485" s="273"/>
      <c r="F485" s="273"/>
      <c r="G485" s="273"/>
      <c r="H485" s="273"/>
      <c r="I485" s="273"/>
    </row>
    <row r="486">
      <c r="A486" s="273"/>
      <c r="B486" s="273"/>
      <c r="C486" s="273"/>
      <c r="D486" s="273"/>
      <c r="E486" s="273"/>
      <c r="F486" s="273"/>
      <c r="G486" s="273"/>
      <c r="H486" s="273"/>
      <c r="I486" s="273"/>
    </row>
    <row r="487">
      <c r="A487" s="273"/>
      <c r="B487" s="273"/>
      <c r="C487" s="273"/>
      <c r="D487" s="273"/>
      <c r="E487" s="273"/>
      <c r="F487" s="273"/>
      <c r="G487" s="273"/>
      <c r="H487" s="273"/>
      <c r="I487" s="273"/>
    </row>
    <row r="488">
      <c r="A488" s="273"/>
      <c r="B488" s="273"/>
      <c r="C488" s="273"/>
      <c r="D488" s="273"/>
      <c r="E488" s="273"/>
      <c r="F488" s="273"/>
      <c r="G488" s="273"/>
      <c r="H488" s="273"/>
      <c r="I488" s="273"/>
    </row>
    <row r="489">
      <c r="A489" s="273"/>
      <c r="B489" s="273"/>
      <c r="C489" s="273"/>
      <c r="D489" s="273"/>
      <c r="E489" s="273"/>
      <c r="F489" s="273"/>
      <c r="G489" s="273"/>
      <c r="H489" s="273"/>
      <c r="I489" s="273"/>
    </row>
    <row r="490">
      <c r="A490" s="273"/>
      <c r="B490" s="273"/>
      <c r="C490" s="273"/>
      <c r="D490" s="273"/>
      <c r="E490" s="273"/>
      <c r="F490" s="273"/>
      <c r="G490" s="273"/>
      <c r="H490" s="273"/>
      <c r="I490" s="273"/>
    </row>
    <row r="491">
      <c r="A491" s="273"/>
      <c r="B491" s="273"/>
      <c r="C491" s="273"/>
      <c r="D491" s="273"/>
      <c r="E491" s="273"/>
      <c r="F491" s="273"/>
      <c r="G491" s="273"/>
      <c r="H491" s="273"/>
      <c r="I491" s="273"/>
    </row>
    <row r="492">
      <c r="A492" s="273"/>
      <c r="B492" s="273"/>
      <c r="C492" s="273"/>
      <c r="D492" s="273"/>
      <c r="E492" s="273"/>
      <c r="F492" s="273"/>
      <c r="G492" s="273"/>
      <c r="H492" s="273"/>
      <c r="I492" s="273"/>
    </row>
    <row r="493">
      <c r="A493" s="273"/>
      <c r="B493" s="273"/>
      <c r="C493" s="273"/>
      <c r="D493" s="273"/>
      <c r="E493" s="273"/>
      <c r="F493" s="273"/>
      <c r="G493" s="273"/>
      <c r="H493" s="273"/>
      <c r="I493" s="273"/>
    </row>
    <row r="494">
      <c r="A494" s="273"/>
      <c r="B494" s="273"/>
      <c r="C494" s="273"/>
      <c r="D494" s="273"/>
      <c r="E494" s="273"/>
      <c r="F494" s="273"/>
      <c r="G494" s="273"/>
      <c r="H494" s="273"/>
      <c r="I494" s="273"/>
    </row>
    <row r="495">
      <c r="A495" s="273"/>
      <c r="B495" s="273"/>
      <c r="C495" s="273"/>
      <c r="D495" s="273"/>
      <c r="E495" s="273"/>
      <c r="F495" s="273"/>
      <c r="G495" s="273"/>
      <c r="H495" s="273"/>
      <c r="I495" s="273"/>
    </row>
    <row r="496">
      <c r="A496" s="273"/>
      <c r="B496" s="273"/>
      <c r="C496" s="273"/>
      <c r="D496" s="273"/>
      <c r="E496" s="273"/>
      <c r="F496" s="273"/>
      <c r="G496" s="273"/>
      <c r="H496" s="273"/>
      <c r="I496" s="273"/>
    </row>
    <row r="497">
      <c r="A497" s="273"/>
      <c r="B497" s="273"/>
      <c r="C497" s="273"/>
      <c r="D497" s="273"/>
      <c r="E497" s="273"/>
      <c r="F497" s="273"/>
      <c r="G497" s="273"/>
      <c r="H497" s="273"/>
      <c r="I497" s="273"/>
    </row>
    <row r="498">
      <c r="A498" s="273"/>
      <c r="B498" s="273"/>
      <c r="C498" s="273"/>
      <c r="D498" s="273"/>
      <c r="E498" s="273"/>
      <c r="F498" s="273"/>
      <c r="G498" s="273"/>
      <c r="H498" s="273"/>
      <c r="I498" s="273"/>
    </row>
    <row r="499">
      <c r="A499" s="273"/>
      <c r="B499" s="273"/>
      <c r="C499" s="273"/>
      <c r="D499" s="273"/>
      <c r="E499" s="273"/>
      <c r="F499" s="273"/>
      <c r="G499" s="273"/>
      <c r="H499" s="273"/>
      <c r="I499" s="273"/>
    </row>
    <row r="500">
      <c r="A500" s="273"/>
      <c r="B500" s="273"/>
      <c r="C500" s="273"/>
      <c r="D500" s="273"/>
      <c r="E500" s="273"/>
      <c r="F500" s="273"/>
      <c r="G500" s="273"/>
      <c r="H500" s="273"/>
      <c r="I500" s="273"/>
    </row>
    <row r="501">
      <c r="A501" s="273"/>
      <c r="B501" s="273"/>
      <c r="C501" s="273"/>
      <c r="D501" s="273"/>
      <c r="E501" s="273"/>
      <c r="F501" s="273"/>
      <c r="G501" s="273"/>
      <c r="H501" s="273"/>
      <c r="I501" s="273"/>
    </row>
    <row r="502">
      <c r="A502" s="273"/>
      <c r="B502" s="273"/>
      <c r="C502" s="273"/>
      <c r="D502" s="273"/>
      <c r="E502" s="273"/>
      <c r="F502" s="273"/>
      <c r="G502" s="273"/>
      <c r="H502" s="273"/>
      <c r="I502" s="273"/>
    </row>
    <row r="503">
      <c r="A503" s="273"/>
      <c r="B503" s="273"/>
      <c r="C503" s="273"/>
      <c r="D503" s="273"/>
      <c r="E503" s="273"/>
      <c r="F503" s="273"/>
      <c r="G503" s="273"/>
      <c r="H503" s="273"/>
      <c r="I503" s="273"/>
    </row>
    <row r="504">
      <c r="A504" s="273"/>
      <c r="B504" s="273"/>
      <c r="C504" s="273"/>
      <c r="D504" s="273"/>
      <c r="E504" s="273"/>
      <c r="F504" s="273"/>
      <c r="G504" s="273"/>
      <c r="H504" s="273"/>
      <c r="I504" s="273"/>
    </row>
    <row r="505">
      <c r="A505" s="273"/>
      <c r="B505" s="273"/>
      <c r="C505" s="273"/>
      <c r="D505" s="273"/>
      <c r="E505" s="273"/>
      <c r="F505" s="273"/>
      <c r="G505" s="273"/>
      <c r="H505" s="273"/>
      <c r="I505" s="273"/>
    </row>
    <row r="506">
      <c r="A506" s="273"/>
      <c r="B506" s="273"/>
      <c r="C506" s="273"/>
      <c r="D506" s="273"/>
      <c r="E506" s="273"/>
      <c r="F506" s="273"/>
      <c r="G506" s="273"/>
      <c r="H506" s="273"/>
      <c r="I506" s="273"/>
    </row>
    <row r="507">
      <c r="A507" s="273"/>
      <c r="B507" s="273"/>
      <c r="C507" s="273"/>
      <c r="D507" s="273"/>
      <c r="E507" s="273"/>
      <c r="F507" s="273"/>
      <c r="G507" s="273"/>
      <c r="H507" s="273"/>
      <c r="I507" s="273"/>
    </row>
    <row r="508">
      <c r="A508" s="273"/>
      <c r="B508" s="273"/>
      <c r="C508" s="273"/>
      <c r="D508" s="273"/>
      <c r="E508" s="273"/>
      <c r="F508" s="273"/>
      <c r="G508" s="273"/>
      <c r="H508" s="273"/>
      <c r="I508" s="273"/>
    </row>
    <row r="509">
      <c r="A509" s="273"/>
      <c r="B509" s="273"/>
      <c r="C509" s="273"/>
      <c r="D509" s="273"/>
      <c r="E509" s="273"/>
      <c r="F509" s="273"/>
      <c r="G509" s="273"/>
      <c r="H509" s="273"/>
      <c r="I509" s="273"/>
    </row>
    <row r="510">
      <c r="A510" s="273"/>
      <c r="B510" s="273"/>
      <c r="C510" s="273"/>
      <c r="D510" s="273"/>
      <c r="E510" s="273"/>
      <c r="F510" s="273"/>
      <c r="G510" s="273"/>
      <c r="H510" s="273"/>
      <c r="I510" s="273"/>
    </row>
    <row r="511">
      <c r="A511" s="273"/>
      <c r="B511" s="273"/>
      <c r="C511" s="273"/>
      <c r="D511" s="273"/>
      <c r="E511" s="273"/>
      <c r="F511" s="273"/>
      <c r="G511" s="273"/>
      <c r="H511" s="273"/>
      <c r="I511" s="273"/>
    </row>
    <row r="512">
      <c r="A512" s="273"/>
      <c r="B512" s="273"/>
      <c r="C512" s="273"/>
      <c r="D512" s="273"/>
      <c r="E512" s="273"/>
      <c r="F512" s="273"/>
      <c r="G512" s="273"/>
      <c r="H512" s="273"/>
      <c r="I512" s="273"/>
    </row>
    <row r="513">
      <c r="A513" s="273"/>
      <c r="B513" s="273"/>
      <c r="C513" s="273"/>
      <c r="D513" s="273"/>
      <c r="E513" s="273"/>
      <c r="F513" s="273"/>
      <c r="G513" s="273"/>
      <c r="H513" s="273"/>
      <c r="I513" s="273"/>
    </row>
    <row r="514">
      <c r="A514" s="273"/>
      <c r="B514" s="273"/>
      <c r="C514" s="273"/>
      <c r="D514" s="273"/>
      <c r="E514" s="273"/>
      <c r="F514" s="273"/>
      <c r="G514" s="273"/>
      <c r="H514" s="273"/>
      <c r="I514" s="273"/>
    </row>
    <row r="515">
      <c r="A515" s="273"/>
      <c r="B515" s="273"/>
      <c r="C515" s="273"/>
      <c r="D515" s="273"/>
      <c r="E515" s="273"/>
      <c r="F515" s="273"/>
      <c r="G515" s="273"/>
      <c r="H515" s="273"/>
      <c r="I515" s="273"/>
    </row>
    <row r="516">
      <c r="A516" s="273"/>
      <c r="B516" s="273"/>
      <c r="C516" s="273"/>
      <c r="D516" s="273"/>
      <c r="E516" s="273"/>
      <c r="F516" s="273"/>
      <c r="G516" s="273"/>
      <c r="H516" s="273"/>
      <c r="I516" s="273"/>
    </row>
    <row r="517">
      <c r="A517" s="273"/>
      <c r="B517" s="273"/>
      <c r="C517" s="273"/>
      <c r="D517" s="273"/>
      <c r="E517" s="273"/>
      <c r="F517" s="273"/>
      <c r="G517" s="273"/>
      <c r="H517" s="273"/>
      <c r="I517" s="273"/>
    </row>
    <row r="518">
      <c r="A518" s="273"/>
      <c r="B518" s="273"/>
      <c r="C518" s="273"/>
      <c r="D518" s="273"/>
      <c r="E518" s="273"/>
      <c r="F518" s="273"/>
      <c r="G518" s="273"/>
      <c r="H518" s="273"/>
      <c r="I518" s="273"/>
    </row>
    <row r="519">
      <c r="A519" s="273"/>
      <c r="B519" s="273"/>
      <c r="C519" s="273"/>
      <c r="D519" s="273"/>
      <c r="E519" s="273"/>
      <c r="F519" s="273"/>
      <c r="G519" s="273"/>
      <c r="H519" s="273"/>
      <c r="I519" s="273"/>
    </row>
    <row r="520">
      <c r="A520" s="273"/>
      <c r="B520" s="273"/>
      <c r="C520" s="273"/>
      <c r="D520" s="273"/>
      <c r="E520" s="273"/>
      <c r="F520" s="273"/>
      <c r="G520" s="273"/>
      <c r="H520" s="273"/>
      <c r="I520" s="273"/>
    </row>
    <row r="521">
      <c r="A521" s="273"/>
      <c r="B521" s="273"/>
      <c r="C521" s="273"/>
      <c r="D521" s="273"/>
      <c r="E521" s="273"/>
      <c r="F521" s="273"/>
      <c r="G521" s="273"/>
      <c r="H521" s="273"/>
      <c r="I521" s="273"/>
    </row>
    <row r="522">
      <c r="A522" s="273"/>
      <c r="B522" s="273"/>
      <c r="C522" s="273"/>
      <c r="D522" s="273"/>
      <c r="E522" s="273"/>
      <c r="F522" s="273"/>
      <c r="G522" s="273"/>
      <c r="H522" s="273"/>
      <c r="I522" s="273"/>
    </row>
    <row r="523">
      <c r="A523" s="273"/>
      <c r="B523" s="273"/>
      <c r="C523" s="273"/>
      <c r="D523" s="273"/>
      <c r="E523" s="273"/>
      <c r="F523" s="273"/>
      <c r="G523" s="273"/>
      <c r="H523" s="273"/>
      <c r="I523" s="273"/>
    </row>
    <row r="524">
      <c r="A524" s="273"/>
      <c r="B524" s="273"/>
      <c r="C524" s="273"/>
      <c r="D524" s="273"/>
      <c r="E524" s="273"/>
      <c r="F524" s="273"/>
      <c r="G524" s="273"/>
      <c r="H524" s="273"/>
      <c r="I524" s="273"/>
    </row>
    <row r="525">
      <c r="A525" s="273"/>
      <c r="B525" s="273"/>
      <c r="C525" s="273"/>
      <c r="D525" s="273"/>
      <c r="E525" s="273"/>
      <c r="F525" s="273"/>
      <c r="G525" s="273"/>
      <c r="H525" s="273"/>
      <c r="I525" s="273"/>
    </row>
    <row r="526">
      <c r="A526" s="273"/>
      <c r="B526" s="273"/>
      <c r="C526" s="273"/>
      <c r="D526" s="273"/>
      <c r="E526" s="273"/>
      <c r="F526" s="273"/>
      <c r="G526" s="273"/>
      <c r="H526" s="273"/>
      <c r="I526" s="273"/>
    </row>
    <row r="527">
      <c r="A527" s="273"/>
      <c r="B527" s="273"/>
      <c r="C527" s="273"/>
      <c r="D527" s="273"/>
      <c r="E527" s="273"/>
      <c r="F527" s="273"/>
      <c r="G527" s="273"/>
      <c r="H527" s="273"/>
      <c r="I527" s="273"/>
    </row>
    <row r="528">
      <c r="A528" s="273"/>
      <c r="B528" s="273"/>
      <c r="C528" s="273"/>
      <c r="D528" s="273"/>
      <c r="E528" s="273"/>
      <c r="F528" s="273"/>
      <c r="G528" s="273"/>
      <c r="H528" s="273"/>
      <c r="I528" s="273"/>
    </row>
    <row r="529">
      <c r="A529" s="273"/>
      <c r="B529" s="273"/>
      <c r="C529" s="273"/>
      <c r="D529" s="273"/>
      <c r="E529" s="273"/>
      <c r="F529" s="273"/>
      <c r="G529" s="273"/>
      <c r="H529" s="273"/>
      <c r="I529" s="273"/>
    </row>
    <row r="530">
      <c r="A530" s="273"/>
      <c r="B530" s="273"/>
      <c r="C530" s="273"/>
      <c r="D530" s="273"/>
      <c r="E530" s="273"/>
      <c r="F530" s="273"/>
      <c r="G530" s="273"/>
      <c r="H530" s="273"/>
      <c r="I530" s="273"/>
    </row>
    <row r="531">
      <c r="A531" s="273"/>
      <c r="B531" s="273"/>
      <c r="C531" s="273"/>
      <c r="D531" s="273"/>
      <c r="E531" s="273"/>
      <c r="F531" s="273"/>
      <c r="G531" s="273"/>
      <c r="H531" s="273"/>
      <c r="I531" s="273"/>
    </row>
    <row r="532">
      <c r="A532" s="273"/>
      <c r="B532" s="273"/>
      <c r="C532" s="273"/>
      <c r="D532" s="273"/>
      <c r="E532" s="273"/>
      <c r="F532" s="273"/>
      <c r="G532" s="273"/>
      <c r="H532" s="273"/>
      <c r="I532" s="273"/>
    </row>
    <row r="533">
      <c r="A533" s="273"/>
      <c r="B533" s="273"/>
      <c r="C533" s="273"/>
      <c r="D533" s="273"/>
      <c r="E533" s="273"/>
      <c r="F533" s="273"/>
      <c r="G533" s="273"/>
      <c r="H533" s="273"/>
      <c r="I533" s="273"/>
    </row>
    <row r="534">
      <c r="A534" s="273"/>
      <c r="B534" s="273"/>
      <c r="C534" s="273"/>
      <c r="D534" s="273"/>
      <c r="E534" s="273"/>
      <c r="F534" s="273"/>
      <c r="G534" s="273"/>
      <c r="H534" s="273"/>
      <c r="I534" s="273"/>
    </row>
    <row r="535">
      <c r="A535" s="273"/>
      <c r="B535" s="273"/>
      <c r="C535" s="273"/>
      <c r="D535" s="273"/>
      <c r="E535" s="273"/>
      <c r="F535" s="273"/>
      <c r="G535" s="273"/>
      <c r="H535" s="273"/>
      <c r="I535" s="273"/>
    </row>
    <row r="536">
      <c r="A536" s="273"/>
      <c r="B536" s="273"/>
      <c r="C536" s="273"/>
      <c r="D536" s="273"/>
      <c r="E536" s="273"/>
      <c r="F536" s="273"/>
      <c r="G536" s="273"/>
      <c r="H536" s="273"/>
      <c r="I536" s="273"/>
    </row>
    <row r="537">
      <c r="A537" s="273"/>
      <c r="B537" s="273"/>
      <c r="C537" s="273"/>
      <c r="D537" s="273"/>
      <c r="E537" s="273"/>
      <c r="F537" s="273"/>
      <c r="G537" s="273"/>
      <c r="H537" s="273"/>
      <c r="I537" s="273"/>
    </row>
    <row r="538">
      <c r="A538" s="273"/>
      <c r="B538" s="273"/>
      <c r="C538" s="273"/>
      <c r="D538" s="273"/>
      <c r="E538" s="273"/>
      <c r="F538" s="273"/>
      <c r="G538" s="273"/>
      <c r="H538" s="273"/>
      <c r="I538" s="273"/>
    </row>
    <row r="539">
      <c r="A539" s="273"/>
      <c r="B539" s="273"/>
      <c r="C539" s="273"/>
      <c r="D539" s="273"/>
      <c r="E539" s="273"/>
      <c r="F539" s="273"/>
      <c r="G539" s="273"/>
      <c r="H539" s="273"/>
      <c r="I539" s="273"/>
    </row>
    <row r="540">
      <c r="A540" s="273"/>
      <c r="B540" s="273"/>
      <c r="C540" s="273"/>
      <c r="D540" s="273"/>
      <c r="E540" s="273"/>
      <c r="F540" s="273"/>
      <c r="G540" s="273"/>
      <c r="H540" s="273"/>
      <c r="I540" s="273"/>
    </row>
    <row r="541">
      <c r="A541" s="273"/>
      <c r="B541" s="273"/>
      <c r="C541" s="273"/>
      <c r="D541" s="273"/>
      <c r="E541" s="273"/>
      <c r="F541" s="273"/>
      <c r="G541" s="273"/>
      <c r="H541" s="273"/>
      <c r="I541" s="273"/>
    </row>
    <row r="542">
      <c r="A542" s="273"/>
      <c r="B542" s="273"/>
      <c r="C542" s="273"/>
      <c r="D542" s="273"/>
      <c r="E542" s="273"/>
      <c r="F542" s="273"/>
      <c r="G542" s="273"/>
      <c r="H542" s="273"/>
      <c r="I542" s="273"/>
    </row>
    <row r="543">
      <c r="A543" s="273"/>
      <c r="B543" s="273"/>
      <c r="C543" s="273"/>
      <c r="D543" s="273"/>
      <c r="E543" s="273"/>
      <c r="F543" s="273"/>
      <c r="G543" s="273"/>
      <c r="H543" s="273"/>
      <c r="I543" s="273"/>
    </row>
    <row r="544">
      <c r="A544" s="273"/>
      <c r="B544" s="273"/>
      <c r="C544" s="273"/>
      <c r="D544" s="273"/>
      <c r="E544" s="273"/>
      <c r="F544" s="273"/>
      <c r="G544" s="273"/>
      <c r="H544" s="273"/>
      <c r="I544" s="273"/>
    </row>
    <row r="545">
      <c r="A545" s="273"/>
      <c r="B545" s="273"/>
      <c r="C545" s="273"/>
      <c r="D545" s="273"/>
      <c r="E545" s="273"/>
      <c r="F545" s="273"/>
      <c r="G545" s="273"/>
      <c r="H545" s="273"/>
      <c r="I545" s="273"/>
    </row>
    <row r="546">
      <c r="A546" s="273"/>
      <c r="B546" s="273"/>
      <c r="C546" s="273"/>
      <c r="D546" s="273"/>
      <c r="E546" s="273"/>
      <c r="F546" s="273"/>
      <c r="G546" s="273"/>
      <c r="H546" s="273"/>
      <c r="I546" s="273"/>
    </row>
    <row r="547">
      <c r="A547" s="273"/>
      <c r="B547" s="273"/>
      <c r="C547" s="273"/>
      <c r="D547" s="273"/>
      <c r="E547" s="273"/>
      <c r="F547" s="273"/>
      <c r="G547" s="273"/>
      <c r="H547" s="273"/>
      <c r="I547" s="273"/>
    </row>
    <row r="548">
      <c r="A548" s="273"/>
      <c r="B548" s="273"/>
      <c r="C548" s="273"/>
      <c r="D548" s="273"/>
      <c r="E548" s="273"/>
      <c r="F548" s="273"/>
      <c r="G548" s="273"/>
      <c r="H548" s="273"/>
      <c r="I548" s="273"/>
    </row>
    <row r="549">
      <c r="A549" s="273"/>
      <c r="B549" s="273"/>
      <c r="C549" s="273"/>
      <c r="D549" s="273"/>
      <c r="E549" s="273"/>
      <c r="F549" s="273"/>
      <c r="G549" s="273"/>
      <c r="H549" s="273"/>
      <c r="I549" s="273"/>
    </row>
    <row r="550">
      <c r="A550" s="273"/>
      <c r="B550" s="273"/>
      <c r="C550" s="273"/>
      <c r="D550" s="273"/>
      <c r="E550" s="273"/>
      <c r="F550" s="273"/>
      <c r="G550" s="273"/>
      <c r="H550" s="273"/>
      <c r="I550" s="273"/>
    </row>
    <row r="551">
      <c r="A551" s="273"/>
      <c r="B551" s="273"/>
      <c r="C551" s="273"/>
      <c r="D551" s="273"/>
      <c r="E551" s="273"/>
      <c r="F551" s="273"/>
      <c r="G551" s="273"/>
      <c r="H551" s="273"/>
      <c r="I551" s="273"/>
    </row>
    <row r="552">
      <c r="A552" s="273"/>
      <c r="B552" s="273"/>
      <c r="C552" s="273"/>
      <c r="D552" s="273"/>
      <c r="E552" s="273"/>
      <c r="F552" s="273"/>
      <c r="G552" s="273"/>
      <c r="H552" s="273"/>
      <c r="I552" s="273"/>
    </row>
    <row r="553">
      <c r="A553" s="273"/>
      <c r="B553" s="273"/>
      <c r="C553" s="273"/>
      <c r="D553" s="273"/>
      <c r="E553" s="273"/>
      <c r="F553" s="273"/>
      <c r="G553" s="273"/>
      <c r="H553" s="273"/>
      <c r="I553" s="273"/>
    </row>
    <row r="554">
      <c r="A554" s="273"/>
      <c r="B554" s="273"/>
      <c r="C554" s="273"/>
      <c r="D554" s="273"/>
      <c r="E554" s="273"/>
      <c r="F554" s="273"/>
      <c r="G554" s="273"/>
      <c r="H554" s="273"/>
      <c r="I554" s="273"/>
    </row>
    <row r="555">
      <c r="A555" s="273"/>
      <c r="B555" s="273"/>
      <c r="C555" s="273"/>
      <c r="D555" s="273"/>
      <c r="E555" s="273"/>
      <c r="F555" s="273"/>
      <c r="G555" s="273"/>
      <c r="H555" s="273"/>
      <c r="I555" s="273"/>
    </row>
    <row r="556">
      <c r="A556" s="273"/>
      <c r="B556" s="273"/>
      <c r="C556" s="273"/>
      <c r="D556" s="273"/>
      <c r="E556" s="273"/>
      <c r="F556" s="273"/>
      <c r="G556" s="273"/>
      <c r="H556" s="273"/>
      <c r="I556" s="273"/>
    </row>
    <row r="557">
      <c r="A557" s="273"/>
      <c r="B557" s="273"/>
      <c r="C557" s="273"/>
      <c r="D557" s="273"/>
      <c r="E557" s="273"/>
      <c r="F557" s="273"/>
      <c r="G557" s="273"/>
      <c r="H557" s="273"/>
      <c r="I557" s="273"/>
    </row>
    <row r="558">
      <c r="A558" s="273"/>
      <c r="B558" s="273"/>
      <c r="C558" s="273"/>
      <c r="D558" s="273"/>
      <c r="E558" s="273"/>
      <c r="F558" s="273"/>
      <c r="G558" s="273"/>
      <c r="H558" s="273"/>
      <c r="I558" s="273"/>
    </row>
    <row r="559">
      <c r="A559" s="273"/>
      <c r="B559" s="273"/>
      <c r="C559" s="273"/>
      <c r="D559" s="273"/>
      <c r="E559" s="273"/>
      <c r="F559" s="273"/>
      <c r="G559" s="273"/>
      <c r="H559" s="273"/>
      <c r="I559" s="273"/>
    </row>
    <row r="560">
      <c r="A560" s="273"/>
      <c r="B560" s="273"/>
      <c r="C560" s="273"/>
      <c r="D560" s="273"/>
      <c r="E560" s="273"/>
      <c r="F560" s="273"/>
      <c r="G560" s="273"/>
      <c r="H560" s="273"/>
      <c r="I560" s="273"/>
    </row>
    <row r="561">
      <c r="A561" s="273"/>
      <c r="B561" s="273"/>
      <c r="C561" s="273"/>
      <c r="D561" s="273"/>
      <c r="E561" s="273"/>
      <c r="F561" s="273"/>
      <c r="G561" s="273"/>
      <c r="H561" s="273"/>
      <c r="I561" s="273"/>
    </row>
    <row r="562">
      <c r="A562" s="273"/>
      <c r="B562" s="273"/>
      <c r="C562" s="273"/>
      <c r="D562" s="273"/>
      <c r="E562" s="273"/>
      <c r="F562" s="273"/>
      <c r="G562" s="273"/>
      <c r="H562" s="273"/>
      <c r="I562" s="273"/>
    </row>
    <row r="563">
      <c r="A563" s="273"/>
      <c r="B563" s="273"/>
      <c r="C563" s="273"/>
      <c r="D563" s="273"/>
      <c r="E563" s="273"/>
      <c r="F563" s="273"/>
      <c r="G563" s="273"/>
      <c r="H563" s="273"/>
      <c r="I563" s="273"/>
    </row>
    <row r="564">
      <c r="A564" s="273"/>
      <c r="B564" s="273"/>
      <c r="C564" s="273"/>
      <c r="D564" s="273"/>
      <c r="E564" s="273"/>
      <c r="F564" s="273"/>
      <c r="G564" s="273"/>
      <c r="H564" s="273"/>
      <c r="I564" s="273"/>
    </row>
    <row r="565">
      <c r="A565" s="273"/>
      <c r="B565" s="273"/>
      <c r="C565" s="273"/>
      <c r="D565" s="273"/>
      <c r="E565" s="273"/>
      <c r="F565" s="273"/>
      <c r="G565" s="273"/>
      <c r="H565" s="273"/>
      <c r="I565" s="273"/>
    </row>
    <row r="566">
      <c r="A566" s="273"/>
      <c r="B566" s="273"/>
      <c r="C566" s="273"/>
      <c r="D566" s="273"/>
      <c r="E566" s="273"/>
      <c r="F566" s="273"/>
      <c r="G566" s="273"/>
      <c r="H566" s="273"/>
      <c r="I566" s="273"/>
    </row>
    <row r="567">
      <c r="A567" s="273"/>
      <c r="B567" s="273"/>
      <c r="C567" s="273"/>
      <c r="D567" s="273"/>
      <c r="E567" s="273"/>
      <c r="F567" s="273"/>
      <c r="G567" s="273"/>
      <c r="H567" s="273"/>
      <c r="I567" s="273"/>
    </row>
    <row r="568">
      <c r="A568" s="273"/>
      <c r="B568" s="273"/>
      <c r="C568" s="273"/>
      <c r="D568" s="273"/>
      <c r="E568" s="273"/>
      <c r="F568" s="273"/>
      <c r="G568" s="273"/>
      <c r="H568" s="273"/>
      <c r="I568" s="273"/>
    </row>
    <row r="569">
      <c r="A569" s="273"/>
      <c r="B569" s="273"/>
      <c r="C569" s="273"/>
      <c r="D569" s="273"/>
      <c r="E569" s="273"/>
      <c r="F569" s="273"/>
      <c r="G569" s="273"/>
      <c r="H569" s="273"/>
      <c r="I569" s="273"/>
    </row>
    <row r="570">
      <c r="A570" s="273"/>
      <c r="B570" s="273"/>
      <c r="C570" s="273"/>
      <c r="D570" s="273"/>
      <c r="E570" s="273"/>
      <c r="F570" s="273"/>
      <c r="G570" s="273"/>
      <c r="H570" s="273"/>
      <c r="I570" s="273"/>
    </row>
    <row r="571">
      <c r="A571" s="273"/>
      <c r="B571" s="273"/>
      <c r="C571" s="273"/>
      <c r="D571" s="273"/>
      <c r="E571" s="273"/>
      <c r="F571" s="273"/>
      <c r="G571" s="273"/>
      <c r="H571" s="273"/>
      <c r="I571" s="273"/>
    </row>
    <row r="572">
      <c r="A572" s="273"/>
      <c r="B572" s="273"/>
      <c r="C572" s="273"/>
      <c r="D572" s="273"/>
      <c r="E572" s="273"/>
      <c r="F572" s="273"/>
      <c r="G572" s="273"/>
      <c r="H572" s="273"/>
      <c r="I572" s="273"/>
    </row>
    <row r="573">
      <c r="A573" s="273"/>
      <c r="B573" s="273"/>
      <c r="C573" s="273"/>
      <c r="D573" s="273"/>
      <c r="E573" s="273"/>
      <c r="F573" s="273"/>
      <c r="G573" s="273"/>
      <c r="H573" s="273"/>
      <c r="I573" s="273"/>
    </row>
    <row r="574">
      <c r="A574" s="273"/>
      <c r="B574" s="273"/>
      <c r="C574" s="273"/>
      <c r="D574" s="273"/>
      <c r="E574" s="273"/>
      <c r="F574" s="273"/>
      <c r="G574" s="273"/>
      <c r="H574" s="273"/>
      <c r="I574" s="273"/>
    </row>
    <row r="575">
      <c r="A575" s="273"/>
      <c r="B575" s="273"/>
      <c r="C575" s="273"/>
      <c r="D575" s="273"/>
      <c r="E575" s="273"/>
      <c r="F575" s="273"/>
      <c r="G575" s="273"/>
      <c r="H575" s="273"/>
      <c r="I575" s="273"/>
    </row>
    <row r="576">
      <c r="A576" s="273"/>
      <c r="B576" s="273"/>
      <c r="C576" s="273"/>
      <c r="D576" s="273"/>
      <c r="E576" s="273"/>
      <c r="F576" s="273"/>
      <c r="G576" s="273"/>
      <c r="H576" s="273"/>
      <c r="I576" s="273"/>
    </row>
    <row r="577">
      <c r="A577" s="273"/>
      <c r="B577" s="273"/>
      <c r="C577" s="273"/>
      <c r="D577" s="273"/>
      <c r="E577" s="273"/>
      <c r="F577" s="273"/>
      <c r="G577" s="273"/>
      <c r="H577" s="273"/>
      <c r="I577" s="273"/>
    </row>
    <row r="578">
      <c r="A578" s="273"/>
      <c r="B578" s="273"/>
      <c r="C578" s="273"/>
      <c r="D578" s="273"/>
      <c r="E578" s="273"/>
      <c r="F578" s="273"/>
      <c r="G578" s="273"/>
      <c r="H578" s="273"/>
      <c r="I578" s="273"/>
    </row>
    <row r="579">
      <c r="A579" s="273"/>
      <c r="B579" s="273"/>
      <c r="C579" s="273"/>
      <c r="D579" s="273"/>
      <c r="E579" s="273"/>
      <c r="F579" s="273"/>
      <c r="G579" s="273"/>
      <c r="H579" s="273"/>
      <c r="I579" s="273"/>
    </row>
    <row r="580">
      <c r="A580" s="273"/>
      <c r="B580" s="273"/>
      <c r="C580" s="273"/>
      <c r="D580" s="273"/>
      <c r="E580" s="273"/>
      <c r="F580" s="273"/>
      <c r="G580" s="273"/>
      <c r="H580" s="273"/>
      <c r="I580" s="273"/>
    </row>
    <row r="581">
      <c r="A581" s="273"/>
      <c r="B581" s="273"/>
      <c r="C581" s="273"/>
      <c r="D581" s="273"/>
      <c r="E581" s="273"/>
      <c r="F581" s="273"/>
      <c r="G581" s="273"/>
      <c r="H581" s="273"/>
      <c r="I581" s="273"/>
    </row>
    <row r="582">
      <c r="A582" s="273"/>
      <c r="B582" s="273"/>
      <c r="C582" s="273"/>
      <c r="D582" s="273"/>
      <c r="E582" s="273"/>
      <c r="F582" s="273"/>
      <c r="G582" s="273"/>
      <c r="H582" s="273"/>
      <c r="I582" s="273"/>
    </row>
    <row r="583">
      <c r="A583" s="273"/>
      <c r="B583" s="273"/>
      <c r="C583" s="273"/>
      <c r="D583" s="273"/>
      <c r="E583" s="273"/>
      <c r="F583" s="273"/>
      <c r="G583" s="273"/>
      <c r="H583" s="273"/>
      <c r="I583" s="273"/>
    </row>
    <row r="584">
      <c r="A584" s="273"/>
      <c r="B584" s="273"/>
      <c r="C584" s="273"/>
      <c r="D584" s="273"/>
      <c r="E584" s="273"/>
      <c r="F584" s="273"/>
      <c r="G584" s="273"/>
      <c r="H584" s="273"/>
      <c r="I584" s="273"/>
    </row>
    <row r="585">
      <c r="A585" s="273"/>
      <c r="B585" s="273"/>
      <c r="C585" s="273"/>
      <c r="D585" s="273"/>
      <c r="E585" s="273"/>
      <c r="F585" s="273"/>
      <c r="G585" s="273"/>
      <c r="H585" s="273"/>
      <c r="I585" s="273"/>
    </row>
    <row r="586">
      <c r="A586" s="273"/>
      <c r="B586" s="273"/>
      <c r="C586" s="273"/>
      <c r="D586" s="273"/>
      <c r="E586" s="273"/>
      <c r="F586" s="273"/>
      <c r="G586" s="273"/>
      <c r="H586" s="273"/>
      <c r="I586" s="273"/>
    </row>
    <row r="587">
      <c r="A587" s="273"/>
      <c r="B587" s="273"/>
      <c r="C587" s="273"/>
      <c r="D587" s="273"/>
      <c r="E587" s="273"/>
      <c r="F587" s="273"/>
      <c r="G587" s="273"/>
      <c r="H587" s="273"/>
      <c r="I587" s="273"/>
    </row>
    <row r="588">
      <c r="A588" s="273"/>
      <c r="B588" s="273"/>
      <c r="C588" s="273"/>
      <c r="D588" s="273"/>
      <c r="E588" s="273"/>
      <c r="F588" s="273"/>
      <c r="G588" s="273"/>
      <c r="H588" s="273"/>
      <c r="I588" s="273"/>
    </row>
    <row r="589">
      <c r="A589" s="273"/>
      <c r="B589" s="273"/>
      <c r="C589" s="273"/>
      <c r="D589" s="273"/>
      <c r="E589" s="273"/>
      <c r="F589" s="273"/>
      <c r="G589" s="273"/>
      <c r="H589" s="273"/>
      <c r="I589" s="273"/>
    </row>
    <row r="590">
      <c r="A590" s="273"/>
      <c r="B590" s="273"/>
      <c r="C590" s="273"/>
      <c r="D590" s="273"/>
      <c r="E590" s="273"/>
      <c r="F590" s="273"/>
      <c r="G590" s="273"/>
      <c r="H590" s="273"/>
      <c r="I590" s="273"/>
    </row>
    <row r="591">
      <c r="A591" s="273"/>
      <c r="B591" s="273"/>
      <c r="C591" s="273"/>
      <c r="D591" s="273"/>
      <c r="E591" s="273"/>
      <c r="F591" s="273"/>
      <c r="G591" s="273"/>
      <c r="H591" s="273"/>
      <c r="I591" s="273"/>
    </row>
    <row r="592">
      <c r="A592" s="273"/>
      <c r="B592" s="273"/>
      <c r="C592" s="273"/>
      <c r="D592" s="273"/>
      <c r="E592" s="273"/>
      <c r="F592" s="273"/>
      <c r="G592" s="273"/>
      <c r="H592" s="273"/>
      <c r="I592" s="273"/>
    </row>
    <row r="593">
      <c r="A593" s="273"/>
      <c r="B593" s="273"/>
      <c r="C593" s="273"/>
      <c r="D593" s="273"/>
      <c r="E593" s="273"/>
      <c r="F593" s="273"/>
      <c r="G593" s="273"/>
      <c r="H593" s="273"/>
      <c r="I593" s="273"/>
    </row>
    <row r="594">
      <c r="A594" s="273"/>
      <c r="B594" s="273"/>
      <c r="C594" s="273"/>
      <c r="D594" s="273"/>
      <c r="E594" s="273"/>
      <c r="F594" s="273"/>
      <c r="G594" s="273"/>
      <c r="H594" s="273"/>
      <c r="I594" s="273"/>
    </row>
    <row r="595">
      <c r="A595" s="273"/>
      <c r="B595" s="273"/>
      <c r="C595" s="273"/>
      <c r="D595" s="273"/>
      <c r="E595" s="273"/>
      <c r="F595" s="273"/>
      <c r="G595" s="273"/>
      <c r="H595" s="273"/>
      <c r="I595" s="273"/>
    </row>
    <row r="596">
      <c r="A596" s="273"/>
      <c r="B596" s="273"/>
      <c r="C596" s="273"/>
      <c r="D596" s="273"/>
      <c r="E596" s="273"/>
      <c r="F596" s="273"/>
      <c r="G596" s="273"/>
      <c r="H596" s="273"/>
      <c r="I596" s="273"/>
    </row>
    <row r="597">
      <c r="A597" s="273"/>
      <c r="B597" s="273"/>
      <c r="C597" s="273"/>
      <c r="D597" s="273"/>
      <c r="E597" s="273"/>
      <c r="F597" s="273"/>
      <c r="G597" s="273"/>
      <c r="H597" s="273"/>
      <c r="I597" s="273"/>
    </row>
    <row r="598">
      <c r="A598" s="273"/>
      <c r="B598" s="273"/>
      <c r="C598" s="273"/>
      <c r="D598" s="273"/>
      <c r="E598" s="273"/>
      <c r="F598" s="273"/>
      <c r="G598" s="273"/>
      <c r="H598" s="273"/>
      <c r="I598" s="273"/>
    </row>
    <row r="599">
      <c r="A599" s="273"/>
      <c r="B599" s="273"/>
      <c r="C599" s="273"/>
      <c r="D599" s="273"/>
      <c r="E599" s="273"/>
      <c r="F599" s="273"/>
      <c r="G599" s="273"/>
      <c r="H599" s="273"/>
      <c r="I599" s="273"/>
    </row>
    <row r="600">
      <c r="A600" s="273"/>
      <c r="B600" s="273"/>
      <c r="C600" s="273"/>
      <c r="D600" s="273"/>
      <c r="E600" s="273"/>
      <c r="F600" s="273"/>
      <c r="G600" s="273"/>
      <c r="H600" s="273"/>
      <c r="I600" s="273"/>
    </row>
    <row r="601">
      <c r="A601" s="273"/>
      <c r="B601" s="273"/>
      <c r="C601" s="273"/>
      <c r="D601" s="273"/>
      <c r="E601" s="273"/>
      <c r="F601" s="273"/>
      <c r="G601" s="273"/>
      <c r="H601" s="273"/>
      <c r="I601" s="273"/>
    </row>
    <row r="602">
      <c r="A602" s="273"/>
      <c r="B602" s="273"/>
      <c r="C602" s="273"/>
      <c r="D602" s="273"/>
      <c r="E602" s="273"/>
      <c r="F602" s="273"/>
      <c r="G602" s="273"/>
      <c r="H602" s="273"/>
      <c r="I602" s="273"/>
    </row>
    <row r="603">
      <c r="A603" s="273"/>
      <c r="B603" s="273"/>
      <c r="C603" s="273"/>
      <c r="D603" s="273"/>
      <c r="E603" s="273"/>
      <c r="F603" s="273"/>
      <c r="G603" s="273"/>
      <c r="H603" s="273"/>
      <c r="I603" s="273"/>
    </row>
    <row r="604">
      <c r="A604" s="273"/>
      <c r="B604" s="273"/>
      <c r="C604" s="273"/>
      <c r="D604" s="273"/>
      <c r="E604" s="273"/>
      <c r="F604" s="273"/>
      <c r="G604" s="273"/>
      <c r="H604" s="273"/>
      <c r="I604" s="273"/>
    </row>
    <row r="605">
      <c r="A605" s="273"/>
      <c r="B605" s="273"/>
      <c r="C605" s="273"/>
      <c r="D605" s="273"/>
      <c r="E605" s="273"/>
      <c r="F605" s="273"/>
      <c r="G605" s="273"/>
      <c r="H605" s="273"/>
      <c r="I605" s="273"/>
    </row>
    <row r="606">
      <c r="A606" s="273"/>
      <c r="B606" s="273"/>
      <c r="C606" s="273"/>
      <c r="D606" s="273"/>
      <c r="E606" s="273"/>
      <c r="F606" s="273"/>
      <c r="G606" s="273"/>
      <c r="H606" s="273"/>
      <c r="I606" s="273"/>
    </row>
    <row r="607">
      <c r="A607" s="273"/>
      <c r="B607" s="273"/>
      <c r="C607" s="273"/>
      <c r="D607" s="273"/>
      <c r="E607" s="273"/>
      <c r="F607" s="273"/>
      <c r="G607" s="273"/>
      <c r="H607" s="273"/>
      <c r="I607" s="273"/>
    </row>
    <row r="608">
      <c r="A608" s="273"/>
      <c r="B608" s="273"/>
      <c r="C608" s="273"/>
      <c r="D608" s="273"/>
      <c r="E608" s="273"/>
      <c r="F608" s="273"/>
      <c r="G608" s="273"/>
      <c r="H608" s="273"/>
      <c r="I608" s="273"/>
    </row>
    <row r="609">
      <c r="A609" s="273"/>
      <c r="B609" s="273"/>
      <c r="C609" s="273"/>
      <c r="D609" s="273"/>
      <c r="E609" s="273"/>
      <c r="F609" s="273"/>
      <c r="G609" s="273"/>
      <c r="H609" s="273"/>
      <c r="I609" s="273"/>
    </row>
    <row r="610">
      <c r="A610" s="273"/>
      <c r="B610" s="273"/>
      <c r="C610" s="273"/>
      <c r="D610" s="273"/>
      <c r="E610" s="273"/>
      <c r="F610" s="273"/>
      <c r="G610" s="273"/>
      <c r="H610" s="273"/>
      <c r="I610" s="273"/>
    </row>
    <row r="611">
      <c r="A611" s="273"/>
      <c r="B611" s="273"/>
      <c r="C611" s="273"/>
      <c r="D611" s="273"/>
      <c r="E611" s="273"/>
      <c r="F611" s="273"/>
      <c r="G611" s="273"/>
      <c r="H611" s="273"/>
      <c r="I611" s="273"/>
    </row>
    <row r="612">
      <c r="A612" s="273"/>
      <c r="B612" s="273"/>
      <c r="C612" s="273"/>
      <c r="D612" s="273"/>
      <c r="E612" s="273"/>
      <c r="F612" s="273"/>
      <c r="G612" s="273"/>
      <c r="H612" s="273"/>
      <c r="I612" s="273"/>
    </row>
    <row r="613">
      <c r="A613" s="273"/>
      <c r="B613" s="273"/>
      <c r="C613" s="273"/>
      <c r="D613" s="273"/>
      <c r="E613" s="273"/>
      <c r="F613" s="273"/>
      <c r="G613" s="273"/>
      <c r="H613" s="273"/>
      <c r="I613" s="273"/>
    </row>
    <row r="614">
      <c r="A614" s="273"/>
      <c r="B614" s="273"/>
      <c r="C614" s="273"/>
      <c r="D614" s="273"/>
      <c r="E614" s="273"/>
      <c r="F614" s="273"/>
      <c r="G614" s="273"/>
      <c r="H614" s="273"/>
      <c r="I614" s="273"/>
    </row>
    <row r="615">
      <c r="A615" s="273"/>
      <c r="B615" s="273"/>
      <c r="C615" s="273"/>
      <c r="D615" s="273"/>
      <c r="E615" s="273"/>
      <c r="F615" s="273"/>
      <c r="G615" s="273"/>
      <c r="H615" s="273"/>
      <c r="I615" s="273"/>
    </row>
    <row r="616">
      <c r="A616" s="273"/>
      <c r="B616" s="273"/>
      <c r="C616" s="273"/>
      <c r="D616" s="273"/>
      <c r="E616" s="273"/>
      <c r="F616" s="273"/>
      <c r="G616" s="273"/>
      <c r="H616" s="273"/>
      <c r="I616" s="273"/>
    </row>
    <row r="617">
      <c r="A617" s="273"/>
      <c r="B617" s="273"/>
      <c r="C617" s="273"/>
      <c r="D617" s="273"/>
      <c r="E617" s="273"/>
      <c r="F617" s="273"/>
      <c r="G617" s="273"/>
      <c r="H617" s="273"/>
      <c r="I617" s="273"/>
    </row>
    <row r="618">
      <c r="A618" s="273"/>
      <c r="B618" s="273"/>
      <c r="C618" s="273"/>
      <c r="D618" s="273"/>
      <c r="E618" s="273"/>
      <c r="F618" s="273"/>
      <c r="G618" s="273"/>
      <c r="H618" s="273"/>
      <c r="I618" s="273"/>
    </row>
    <row r="619">
      <c r="A619" s="273"/>
      <c r="B619" s="273"/>
      <c r="C619" s="273"/>
      <c r="D619" s="273"/>
      <c r="E619" s="273"/>
      <c r="F619" s="273"/>
      <c r="G619" s="273"/>
      <c r="H619" s="273"/>
      <c r="I619" s="273"/>
    </row>
    <row r="620">
      <c r="A620" s="273"/>
      <c r="B620" s="273"/>
      <c r="C620" s="273"/>
      <c r="D620" s="273"/>
      <c r="E620" s="273"/>
      <c r="F620" s="273"/>
      <c r="G620" s="273"/>
      <c r="H620" s="273"/>
      <c r="I620" s="273"/>
    </row>
    <row r="621">
      <c r="A621" s="273"/>
      <c r="B621" s="273"/>
      <c r="C621" s="273"/>
      <c r="D621" s="273"/>
      <c r="E621" s="273"/>
      <c r="F621" s="273"/>
      <c r="G621" s="273"/>
      <c r="H621" s="273"/>
      <c r="I621" s="273"/>
    </row>
    <row r="622">
      <c r="A622" s="273"/>
      <c r="B622" s="273"/>
      <c r="C622" s="273"/>
      <c r="D622" s="273"/>
      <c r="E622" s="273"/>
      <c r="F622" s="273"/>
      <c r="G622" s="273"/>
      <c r="H622" s="273"/>
      <c r="I622" s="273"/>
    </row>
    <row r="623">
      <c r="A623" s="273"/>
      <c r="B623" s="273"/>
      <c r="C623" s="273"/>
      <c r="D623" s="273"/>
      <c r="E623" s="273"/>
      <c r="F623" s="273"/>
      <c r="G623" s="273"/>
      <c r="H623" s="273"/>
      <c r="I623" s="273"/>
    </row>
    <row r="624">
      <c r="A624" s="273"/>
      <c r="B624" s="273"/>
      <c r="C624" s="273"/>
      <c r="D624" s="273"/>
      <c r="E624" s="273"/>
      <c r="F624" s="273"/>
      <c r="G624" s="273"/>
      <c r="H624" s="273"/>
      <c r="I624" s="273"/>
    </row>
    <row r="625">
      <c r="A625" s="273"/>
      <c r="B625" s="273"/>
      <c r="C625" s="273"/>
      <c r="D625" s="273"/>
      <c r="E625" s="273"/>
      <c r="F625" s="273"/>
      <c r="G625" s="273"/>
      <c r="H625" s="273"/>
      <c r="I625" s="273"/>
    </row>
    <row r="626">
      <c r="A626" s="273"/>
      <c r="B626" s="273"/>
      <c r="C626" s="273"/>
      <c r="D626" s="273"/>
      <c r="E626" s="273"/>
      <c r="F626" s="273"/>
      <c r="G626" s="273"/>
      <c r="H626" s="273"/>
      <c r="I626" s="273"/>
    </row>
    <row r="627">
      <c r="A627" s="273"/>
      <c r="B627" s="273"/>
      <c r="C627" s="273"/>
      <c r="D627" s="273"/>
      <c r="E627" s="273"/>
      <c r="F627" s="273"/>
      <c r="G627" s="273"/>
      <c r="H627" s="273"/>
      <c r="I627" s="273"/>
    </row>
    <row r="628">
      <c r="A628" s="273"/>
      <c r="B628" s="273"/>
      <c r="C628" s="273"/>
      <c r="D628" s="273"/>
      <c r="E628" s="273"/>
      <c r="F628" s="273"/>
      <c r="G628" s="273"/>
      <c r="H628" s="273"/>
      <c r="I628" s="273"/>
    </row>
    <row r="629">
      <c r="A629" s="273"/>
      <c r="B629" s="273"/>
      <c r="C629" s="273"/>
      <c r="D629" s="273"/>
      <c r="E629" s="273"/>
      <c r="F629" s="273"/>
      <c r="G629" s="273"/>
      <c r="H629" s="273"/>
      <c r="I629" s="273"/>
    </row>
    <row r="630">
      <c r="A630" s="273"/>
      <c r="B630" s="273"/>
      <c r="C630" s="273"/>
      <c r="D630" s="273"/>
      <c r="E630" s="273"/>
      <c r="F630" s="273"/>
      <c r="G630" s="273"/>
      <c r="H630" s="273"/>
      <c r="I630" s="273"/>
    </row>
    <row r="631">
      <c r="A631" s="273"/>
      <c r="B631" s="273"/>
      <c r="C631" s="273"/>
      <c r="D631" s="273"/>
      <c r="E631" s="273"/>
      <c r="F631" s="273"/>
      <c r="G631" s="273"/>
      <c r="H631" s="273"/>
      <c r="I631" s="273"/>
    </row>
    <row r="632">
      <c r="A632" s="273"/>
      <c r="B632" s="273"/>
      <c r="C632" s="273"/>
      <c r="D632" s="273"/>
      <c r="E632" s="273"/>
      <c r="F632" s="273"/>
      <c r="G632" s="273"/>
      <c r="H632" s="273"/>
      <c r="I632" s="273"/>
    </row>
    <row r="633">
      <c r="A633" s="273"/>
      <c r="B633" s="273"/>
      <c r="C633" s="273"/>
      <c r="D633" s="273"/>
      <c r="E633" s="273"/>
      <c r="F633" s="273"/>
      <c r="G633" s="273"/>
      <c r="H633" s="273"/>
      <c r="I633" s="273"/>
    </row>
    <row r="634">
      <c r="A634" s="273"/>
      <c r="B634" s="273"/>
      <c r="C634" s="273"/>
      <c r="D634" s="273"/>
      <c r="E634" s="273"/>
      <c r="F634" s="273"/>
      <c r="G634" s="273"/>
      <c r="H634" s="273"/>
      <c r="I634" s="273"/>
    </row>
    <row r="635">
      <c r="A635" s="273"/>
      <c r="B635" s="273"/>
      <c r="C635" s="273"/>
      <c r="D635" s="273"/>
      <c r="E635" s="273"/>
      <c r="F635" s="273"/>
      <c r="G635" s="273"/>
      <c r="H635" s="273"/>
      <c r="I635" s="273"/>
    </row>
    <row r="636">
      <c r="A636" s="273"/>
      <c r="B636" s="273"/>
      <c r="C636" s="273"/>
      <c r="D636" s="273"/>
      <c r="E636" s="273"/>
      <c r="F636" s="273"/>
      <c r="G636" s="273"/>
      <c r="H636" s="273"/>
      <c r="I636" s="273"/>
    </row>
    <row r="637">
      <c r="A637" s="273"/>
      <c r="B637" s="273"/>
      <c r="C637" s="273"/>
      <c r="D637" s="273"/>
      <c r="E637" s="273"/>
      <c r="F637" s="273"/>
      <c r="G637" s="273"/>
      <c r="H637" s="273"/>
      <c r="I637" s="273"/>
    </row>
    <row r="638">
      <c r="A638" s="273"/>
      <c r="B638" s="273"/>
      <c r="C638" s="273"/>
      <c r="D638" s="273"/>
      <c r="E638" s="273"/>
      <c r="F638" s="273"/>
      <c r="G638" s="273"/>
      <c r="H638" s="273"/>
      <c r="I638" s="273"/>
    </row>
    <row r="639">
      <c r="A639" s="273"/>
      <c r="B639" s="273"/>
      <c r="C639" s="273"/>
      <c r="D639" s="273"/>
      <c r="E639" s="273"/>
      <c r="F639" s="273"/>
      <c r="G639" s="273"/>
      <c r="H639" s="273"/>
      <c r="I639" s="273"/>
    </row>
    <row r="640">
      <c r="A640" s="273"/>
      <c r="B640" s="273"/>
      <c r="C640" s="273"/>
      <c r="D640" s="273"/>
      <c r="E640" s="273"/>
      <c r="F640" s="273"/>
      <c r="G640" s="273"/>
      <c r="H640" s="273"/>
      <c r="I640" s="273"/>
    </row>
    <row r="641">
      <c r="A641" s="273"/>
      <c r="B641" s="273"/>
      <c r="C641" s="273"/>
      <c r="D641" s="273"/>
      <c r="E641" s="273"/>
      <c r="F641" s="273"/>
      <c r="G641" s="273"/>
      <c r="H641" s="273"/>
      <c r="I641" s="273"/>
    </row>
    <row r="642">
      <c r="A642" s="273"/>
      <c r="B642" s="273"/>
      <c r="C642" s="273"/>
      <c r="D642" s="273"/>
      <c r="E642" s="273"/>
      <c r="F642" s="273"/>
      <c r="G642" s="273"/>
      <c r="H642" s="273"/>
      <c r="I642" s="273"/>
    </row>
    <row r="643">
      <c r="A643" s="273"/>
      <c r="B643" s="273"/>
      <c r="C643" s="273"/>
      <c r="D643" s="273"/>
      <c r="E643" s="273"/>
      <c r="F643" s="273"/>
      <c r="G643" s="273"/>
      <c r="H643" s="273"/>
      <c r="I643" s="273"/>
    </row>
    <row r="644">
      <c r="A644" s="273"/>
      <c r="B644" s="273"/>
      <c r="C644" s="273"/>
      <c r="D644" s="273"/>
      <c r="E644" s="273"/>
      <c r="F644" s="273"/>
      <c r="G644" s="273"/>
      <c r="H644" s="273"/>
      <c r="I644" s="273"/>
    </row>
    <row r="645">
      <c r="A645" s="273"/>
      <c r="B645" s="273"/>
      <c r="C645" s="273"/>
      <c r="D645" s="273"/>
      <c r="E645" s="273"/>
      <c r="F645" s="273"/>
      <c r="G645" s="273"/>
      <c r="H645" s="273"/>
      <c r="I645" s="273"/>
    </row>
    <row r="646">
      <c r="A646" s="273"/>
      <c r="B646" s="273"/>
      <c r="C646" s="273"/>
      <c r="D646" s="273"/>
      <c r="E646" s="273"/>
      <c r="F646" s="273"/>
      <c r="G646" s="273"/>
      <c r="H646" s="273"/>
      <c r="I646" s="273"/>
    </row>
    <row r="647">
      <c r="A647" s="273"/>
      <c r="B647" s="273"/>
      <c r="C647" s="273"/>
      <c r="D647" s="273"/>
      <c r="E647" s="273"/>
      <c r="F647" s="273"/>
      <c r="G647" s="273"/>
      <c r="H647" s="273"/>
      <c r="I647" s="273"/>
    </row>
    <row r="648">
      <c r="A648" s="273"/>
      <c r="B648" s="273"/>
      <c r="C648" s="273"/>
      <c r="D648" s="273"/>
      <c r="E648" s="273"/>
      <c r="F648" s="273"/>
      <c r="G648" s="273"/>
      <c r="H648" s="273"/>
      <c r="I648" s="273"/>
    </row>
    <row r="649">
      <c r="A649" s="273"/>
      <c r="B649" s="273"/>
      <c r="C649" s="273"/>
      <c r="D649" s="273"/>
      <c r="E649" s="273"/>
      <c r="F649" s="273"/>
      <c r="G649" s="273"/>
      <c r="H649" s="273"/>
      <c r="I649" s="273"/>
    </row>
    <row r="650">
      <c r="A650" s="273"/>
      <c r="B650" s="273"/>
      <c r="C650" s="273"/>
      <c r="D650" s="273"/>
      <c r="E650" s="273"/>
      <c r="F650" s="273"/>
      <c r="G650" s="273"/>
      <c r="H650" s="273"/>
      <c r="I650" s="273"/>
    </row>
    <row r="651">
      <c r="A651" s="273"/>
      <c r="B651" s="273"/>
      <c r="C651" s="273"/>
      <c r="D651" s="273"/>
      <c r="E651" s="273"/>
      <c r="F651" s="273"/>
      <c r="G651" s="273"/>
      <c r="H651" s="273"/>
      <c r="I651" s="273"/>
    </row>
    <row r="652">
      <c r="A652" s="273"/>
      <c r="B652" s="273"/>
      <c r="C652" s="273"/>
      <c r="D652" s="273"/>
      <c r="E652" s="273"/>
      <c r="F652" s="273"/>
      <c r="G652" s="273"/>
      <c r="H652" s="273"/>
      <c r="I652" s="273"/>
    </row>
    <row r="653">
      <c r="A653" s="273"/>
      <c r="B653" s="273"/>
      <c r="C653" s="273"/>
      <c r="D653" s="273"/>
      <c r="E653" s="273"/>
      <c r="F653" s="273"/>
      <c r="G653" s="273"/>
      <c r="H653" s="273"/>
      <c r="I653" s="273"/>
    </row>
    <row r="654">
      <c r="A654" s="273"/>
      <c r="B654" s="273"/>
      <c r="C654" s="273"/>
      <c r="D654" s="273"/>
      <c r="E654" s="273"/>
      <c r="F654" s="273"/>
      <c r="G654" s="273"/>
      <c r="H654" s="273"/>
      <c r="I654" s="273"/>
    </row>
    <row r="655">
      <c r="A655" s="273"/>
      <c r="B655" s="273"/>
      <c r="C655" s="273"/>
      <c r="D655" s="273"/>
      <c r="E655" s="273"/>
      <c r="F655" s="273"/>
      <c r="G655" s="273"/>
      <c r="H655" s="273"/>
      <c r="I655" s="273"/>
    </row>
    <row r="656">
      <c r="A656" s="273"/>
      <c r="B656" s="273"/>
      <c r="C656" s="273"/>
      <c r="D656" s="273"/>
      <c r="E656" s="273"/>
      <c r="F656" s="273"/>
      <c r="G656" s="273"/>
      <c r="H656" s="273"/>
      <c r="I656" s="273"/>
    </row>
    <row r="657">
      <c r="A657" s="273"/>
      <c r="B657" s="273"/>
      <c r="C657" s="273"/>
      <c r="D657" s="273"/>
      <c r="E657" s="273"/>
      <c r="F657" s="273"/>
      <c r="G657" s="273"/>
      <c r="H657" s="273"/>
      <c r="I657" s="273"/>
    </row>
    <row r="658">
      <c r="A658" s="273"/>
      <c r="B658" s="273"/>
      <c r="C658" s="273"/>
      <c r="D658" s="273"/>
      <c r="E658" s="273"/>
      <c r="F658" s="273"/>
      <c r="G658" s="273"/>
      <c r="H658" s="273"/>
      <c r="I658" s="273"/>
    </row>
    <row r="659">
      <c r="A659" s="273"/>
      <c r="B659" s="273"/>
      <c r="C659" s="273"/>
      <c r="D659" s="273"/>
      <c r="E659" s="273"/>
      <c r="F659" s="273"/>
      <c r="G659" s="273"/>
      <c r="H659" s="273"/>
      <c r="I659" s="273"/>
    </row>
    <row r="660">
      <c r="A660" s="273"/>
      <c r="B660" s="273"/>
      <c r="C660" s="273"/>
      <c r="D660" s="273"/>
      <c r="E660" s="273"/>
      <c r="F660" s="273"/>
      <c r="G660" s="273"/>
      <c r="H660" s="273"/>
      <c r="I660" s="273"/>
    </row>
    <row r="661">
      <c r="A661" s="273"/>
      <c r="B661" s="273"/>
      <c r="C661" s="273"/>
      <c r="D661" s="273"/>
      <c r="E661" s="273"/>
      <c r="F661" s="273"/>
      <c r="G661" s="273"/>
      <c r="H661" s="273"/>
      <c r="I661" s="273"/>
    </row>
    <row r="662">
      <c r="A662" s="273"/>
      <c r="B662" s="273"/>
      <c r="C662" s="273"/>
      <c r="D662" s="273"/>
      <c r="E662" s="273"/>
      <c r="F662" s="273"/>
      <c r="G662" s="273"/>
      <c r="H662" s="273"/>
      <c r="I662" s="273"/>
    </row>
    <row r="663">
      <c r="A663" s="273"/>
      <c r="B663" s="273"/>
      <c r="C663" s="273"/>
      <c r="D663" s="273"/>
      <c r="E663" s="273"/>
      <c r="F663" s="273"/>
      <c r="G663" s="273"/>
      <c r="H663" s="273"/>
      <c r="I663" s="273"/>
    </row>
    <row r="664">
      <c r="A664" s="273"/>
      <c r="B664" s="273"/>
      <c r="C664" s="273"/>
      <c r="D664" s="273"/>
      <c r="E664" s="273"/>
      <c r="F664" s="273"/>
      <c r="G664" s="273"/>
      <c r="H664" s="273"/>
      <c r="I664" s="273"/>
    </row>
    <row r="665">
      <c r="A665" s="273"/>
      <c r="B665" s="273"/>
      <c r="C665" s="273"/>
      <c r="D665" s="273"/>
      <c r="E665" s="273"/>
      <c r="F665" s="273"/>
      <c r="G665" s="273"/>
      <c r="H665" s="273"/>
      <c r="I665" s="273"/>
    </row>
    <row r="666">
      <c r="A666" s="273"/>
      <c r="B666" s="273"/>
      <c r="C666" s="273"/>
      <c r="D666" s="273"/>
      <c r="E666" s="273"/>
      <c r="F666" s="273"/>
      <c r="G666" s="273"/>
      <c r="H666" s="273"/>
      <c r="I666" s="273"/>
    </row>
    <row r="667">
      <c r="A667" s="273"/>
      <c r="B667" s="273"/>
      <c r="C667" s="273"/>
      <c r="D667" s="273"/>
      <c r="E667" s="273"/>
      <c r="F667" s="273"/>
      <c r="G667" s="273"/>
      <c r="H667" s="273"/>
      <c r="I667" s="273"/>
    </row>
    <row r="668">
      <c r="A668" s="273"/>
      <c r="B668" s="273"/>
      <c r="C668" s="273"/>
      <c r="D668" s="273"/>
      <c r="E668" s="273"/>
      <c r="F668" s="273"/>
      <c r="G668" s="273"/>
      <c r="H668" s="273"/>
      <c r="I668" s="273"/>
    </row>
    <row r="669">
      <c r="A669" s="273"/>
      <c r="B669" s="273"/>
      <c r="C669" s="273"/>
      <c r="D669" s="273"/>
      <c r="E669" s="273"/>
      <c r="F669" s="273"/>
      <c r="G669" s="273"/>
      <c r="H669" s="273"/>
      <c r="I669" s="273"/>
    </row>
    <row r="670">
      <c r="A670" s="273"/>
      <c r="B670" s="273"/>
      <c r="C670" s="273"/>
      <c r="D670" s="273"/>
      <c r="E670" s="273"/>
      <c r="F670" s="273"/>
      <c r="G670" s="273"/>
      <c r="H670" s="273"/>
      <c r="I670" s="273"/>
    </row>
    <row r="671">
      <c r="A671" s="273"/>
      <c r="B671" s="273"/>
      <c r="C671" s="273"/>
      <c r="D671" s="273"/>
      <c r="E671" s="273"/>
      <c r="F671" s="273"/>
      <c r="G671" s="273"/>
      <c r="H671" s="273"/>
      <c r="I671" s="273"/>
    </row>
    <row r="672">
      <c r="A672" s="273"/>
      <c r="B672" s="273"/>
      <c r="C672" s="273"/>
      <c r="D672" s="273"/>
      <c r="E672" s="273"/>
      <c r="F672" s="273"/>
      <c r="G672" s="273"/>
      <c r="H672" s="273"/>
      <c r="I672" s="273"/>
    </row>
    <row r="673">
      <c r="A673" s="273"/>
      <c r="B673" s="273"/>
      <c r="C673" s="273"/>
      <c r="D673" s="273"/>
      <c r="E673" s="273"/>
      <c r="F673" s="273"/>
      <c r="G673" s="273"/>
      <c r="H673" s="273"/>
      <c r="I673" s="273"/>
    </row>
    <row r="674">
      <c r="A674" s="273"/>
      <c r="B674" s="273"/>
      <c r="C674" s="273"/>
      <c r="D674" s="273"/>
      <c r="E674" s="273"/>
      <c r="F674" s="273"/>
      <c r="G674" s="273"/>
      <c r="H674" s="273"/>
      <c r="I674" s="273"/>
    </row>
    <row r="675">
      <c r="A675" s="273"/>
      <c r="B675" s="273"/>
      <c r="C675" s="273"/>
      <c r="D675" s="273"/>
      <c r="E675" s="273"/>
      <c r="F675" s="273"/>
      <c r="G675" s="273"/>
      <c r="H675" s="273"/>
      <c r="I675" s="273"/>
    </row>
    <row r="676">
      <c r="A676" s="273"/>
      <c r="B676" s="273"/>
      <c r="C676" s="273"/>
      <c r="D676" s="273"/>
      <c r="E676" s="273"/>
      <c r="F676" s="273"/>
      <c r="G676" s="273"/>
      <c r="H676" s="273"/>
      <c r="I676" s="273"/>
    </row>
    <row r="677">
      <c r="A677" s="273"/>
      <c r="B677" s="273"/>
      <c r="C677" s="273"/>
      <c r="D677" s="273"/>
      <c r="E677" s="273"/>
      <c r="F677" s="273"/>
      <c r="G677" s="273"/>
      <c r="H677" s="273"/>
      <c r="I677" s="273"/>
    </row>
    <row r="678">
      <c r="A678" s="273"/>
      <c r="B678" s="273"/>
      <c r="C678" s="273"/>
      <c r="D678" s="273"/>
      <c r="E678" s="273"/>
      <c r="F678" s="273"/>
      <c r="G678" s="273"/>
      <c r="H678" s="273"/>
      <c r="I678" s="273"/>
    </row>
    <row r="679">
      <c r="A679" s="273"/>
      <c r="B679" s="273"/>
      <c r="C679" s="273"/>
      <c r="D679" s="273"/>
      <c r="E679" s="273"/>
      <c r="F679" s="273"/>
      <c r="G679" s="273"/>
      <c r="H679" s="273"/>
      <c r="I679" s="273"/>
    </row>
    <row r="680">
      <c r="A680" s="273"/>
      <c r="B680" s="273"/>
      <c r="C680" s="273"/>
      <c r="D680" s="273"/>
      <c r="E680" s="273"/>
      <c r="F680" s="273"/>
      <c r="G680" s="273"/>
      <c r="H680" s="273"/>
      <c r="I680" s="273"/>
    </row>
    <row r="681">
      <c r="A681" s="273"/>
      <c r="B681" s="273"/>
      <c r="C681" s="273"/>
      <c r="D681" s="273"/>
      <c r="E681" s="273"/>
      <c r="F681" s="273"/>
      <c r="G681" s="273"/>
      <c r="H681" s="273"/>
      <c r="I681" s="273"/>
    </row>
    <row r="682">
      <c r="A682" s="273"/>
      <c r="B682" s="273"/>
      <c r="C682" s="273"/>
      <c r="D682" s="273"/>
      <c r="E682" s="273"/>
      <c r="F682" s="273"/>
      <c r="G682" s="273"/>
      <c r="H682" s="273"/>
      <c r="I682" s="273"/>
    </row>
    <row r="683">
      <c r="A683" s="273"/>
      <c r="B683" s="273"/>
      <c r="C683" s="273"/>
      <c r="D683" s="273"/>
      <c r="E683" s="273"/>
      <c r="F683" s="273"/>
      <c r="G683" s="273"/>
      <c r="H683" s="273"/>
      <c r="I683" s="273"/>
    </row>
    <row r="684">
      <c r="A684" s="273"/>
      <c r="B684" s="273"/>
      <c r="C684" s="273"/>
      <c r="D684" s="273"/>
      <c r="E684" s="273"/>
      <c r="F684" s="273"/>
      <c r="G684" s="273"/>
      <c r="H684" s="273"/>
      <c r="I684" s="273"/>
    </row>
    <row r="685">
      <c r="A685" s="273"/>
      <c r="B685" s="273"/>
      <c r="C685" s="273"/>
      <c r="D685" s="273"/>
      <c r="E685" s="273"/>
      <c r="F685" s="273"/>
      <c r="G685" s="273"/>
      <c r="H685" s="273"/>
      <c r="I685" s="273"/>
    </row>
    <row r="686">
      <c r="A686" s="273"/>
      <c r="B686" s="273"/>
      <c r="C686" s="273"/>
      <c r="D686" s="273"/>
      <c r="E686" s="273"/>
      <c r="F686" s="273"/>
      <c r="G686" s="273"/>
      <c r="H686" s="273"/>
      <c r="I686" s="273"/>
    </row>
    <row r="687">
      <c r="A687" s="273"/>
      <c r="B687" s="273"/>
      <c r="C687" s="273"/>
      <c r="D687" s="273"/>
      <c r="E687" s="273"/>
      <c r="F687" s="273"/>
      <c r="G687" s="273"/>
      <c r="H687" s="273"/>
      <c r="I687" s="273"/>
    </row>
    <row r="688">
      <c r="A688" s="273"/>
      <c r="B688" s="273"/>
      <c r="C688" s="273"/>
      <c r="D688" s="273"/>
      <c r="E688" s="273"/>
      <c r="F688" s="273"/>
      <c r="G688" s="273"/>
      <c r="H688" s="273"/>
      <c r="I688" s="273"/>
    </row>
    <row r="689">
      <c r="A689" s="273"/>
      <c r="B689" s="273"/>
      <c r="C689" s="273"/>
      <c r="D689" s="273"/>
      <c r="E689" s="273"/>
      <c r="F689" s="273"/>
      <c r="G689" s="273"/>
      <c r="H689" s="273"/>
      <c r="I689" s="273"/>
    </row>
    <row r="690">
      <c r="A690" s="273"/>
      <c r="B690" s="273"/>
      <c r="C690" s="273"/>
      <c r="D690" s="273"/>
      <c r="E690" s="273"/>
      <c r="F690" s="273"/>
      <c r="G690" s="273"/>
      <c r="H690" s="273"/>
      <c r="I690" s="273"/>
    </row>
    <row r="691">
      <c r="A691" s="273"/>
      <c r="B691" s="273"/>
      <c r="C691" s="273"/>
      <c r="D691" s="273"/>
      <c r="E691" s="273"/>
      <c r="F691" s="273"/>
      <c r="G691" s="273"/>
      <c r="H691" s="273"/>
      <c r="I691" s="273"/>
    </row>
    <row r="692">
      <c r="A692" s="273"/>
      <c r="B692" s="273"/>
      <c r="C692" s="273"/>
      <c r="D692" s="273"/>
      <c r="E692" s="273"/>
      <c r="F692" s="273"/>
      <c r="G692" s="273"/>
      <c r="H692" s="273"/>
      <c r="I692" s="273"/>
    </row>
    <row r="693">
      <c r="A693" s="273"/>
      <c r="B693" s="273"/>
      <c r="C693" s="273"/>
      <c r="D693" s="273"/>
      <c r="E693" s="273"/>
      <c r="F693" s="273"/>
      <c r="G693" s="273"/>
      <c r="H693" s="273"/>
      <c r="I693" s="273"/>
    </row>
    <row r="694">
      <c r="A694" s="273"/>
      <c r="B694" s="273"/>
      <c r="C694" s="273"/>
      <c r="D694" s="273"/>
      <c r="E694" s="273"/>
      <c r="F694" s="273"/>
      <c r="G694" s="273"/>
      <c r="H694" s="273"/>
      <c r="I694" s="273"/>
    </row>
    <row r="695">
      <c r="A695" s="273"/>
      <c r="B695" s="273"/>
      <c r="C695" s="273"/>
      <c r="D695" s="273"/>
      <c r="E695" s="273"/>
      <c r="F695" s="273"/>
      <c r="G695" s="273"/>
      <c r="H695" s="273"/>
      <c r="I695" s="273"/>
    </row>
    <row r="696">
      <c r="A696" s="273"/>
      <c r="B696" s="273"/>
      <c r="C696" s="273"/>
      <c r="D696" s="273"/>
      <c r="E696" s="273"/>
      <c r="F696" s="273"/>
      <c r="G696" s="273"/>
      <c r="H696" s="273"/>
      <c r="I696" s="273"/>
    </row>
    <row r="697">
      <c r="A697" s="273"/>
      <c r="B697" s="273"/>
      <c r="C697" s="273"/>
      <c r="D697" s="273"/>
      <c r="E697" s="273"/>
      <c r="F697" s="273"/>
      <c r="G697" s="273"/>
      <c r="H697" s="273"/>
      <c r="I697" s="273"/>
    </row>
    <row r="698">
      <c r="A698" s="273"/>
      <c r="B698" s="273"/>
      <c r="C698" s="273"/>
      <c r="D698" s="273"/>
      <c r="E698" s="273"/>
      <c r="F698" s="273"/>
      <c r="G698" s="273"/>
      <c r="H698" s="273"/>
      <c r="I698" s="273"/>
    </row>
    <row r="699">
      <c r="A699" s="273"/>
      <c r="B699" s="273"/>
      <c r="C699" s="273"/>
      <c r="D699" s="273"/>
      <c r="E699" s="273"/>
      <c r="F699" s="273"/>
      <c r="G699" s="273"/>
      <c r="H699" s="273"/>
      <c r="I699" s="273"/>
    </row>
    <row r="700">
      <c r="A700" s="273"/>
      <c r="B700" s="273"/>
      <c r="C700" s="273"/>
      <c r="D700" s="273"/>
      <c r="E700" s="273"/>
      <c r="F700" s="273"/>
      <c r="G700" s="273"/>
      <c r="H700" s="273"/>
      <c r="I700" s="273"/>
    </row>
    <row r="701">
      <c r="A701" s="273"/>
      <c r="B701" s="273"/>
      <c r="C701" s="273"/>
      <c r="D701" s="273"/>
      <c r="E701" s="273"/>
      <c r="F701" s="273"/>
      <c r="G701" s="273"/>
      <c r="H701" s="273"/>
      <c r="I701" s="273"/>
    </row>
    <row r="702">
      <c r="A702" s="273"/>
      <c r="B702" s="273"/>
      <c r="C702" s="273"/>
      <c r="D702" s="273"/>
      <c r="E702" s="273"/>
      <c r="F702" s="273"/>
      <c r="G702" s="273"/>
      <c r="H702" s="273"/>
      <c r="I702" s="273"/>
    </row>
    <row r="703">
      <c r="A703" s="273"/>
      <c r="B703" s="273"/>
      <c r="C703" s="273"/>
      <c r="D703" s="273"/>
      <c r="E703" s="273"/>
      <c r="F703" s="273"/>
      <c r="G703" s="273"/>
      <c r="H703" s="273"/>
      <c r="I703" s="273"/>
    </row>
    <row r="704">
      <c r="A704" s="273"/>
      <c r="B704" s="273"/>
      <c r="C704" s="273"/>
      <c r="D704" s="273"/>
      <c r="E704" s="273"/>
      <c r="F704" s="273"/>
      <c r="G704" s="273"/>
      <c r="H704" s="273"/>
      <c r="I704" s="273"/>
    </row>
    <row r="705">
      <c r="A705" s="273"/>
      <c r="B705" s="273"/>
      <c r="C705" s="273"/>
      <c r="D705" s="273"/>
      <c r="E705" s="273"/>
      <c r="F705" s="273"/>
      <c r="G705" s="273"/>
      <c r="H705" s="273"/>
      <c r="I705" s="273"/>
    </row>
    <row r="706">
      <c r="A706" s="273"/>
      <c r="B706" s="273"/>
      <c r="C706" s="273"/>
      <c r="D706" s="273"/>
      <c r="E706" s="273"/>
      <c r="F706" s="273"/>
      <c r="G706" s="273"/>
      <c r="H706" s="273"/>
      <c r="I706" s="273"/>
    </row>
    <row r="707">
      <c r="A707" s="273"/>
      <c r="B707" s="273"/>
      <c r="C707" s="273"/>
      <c r="D707" s="273"/>
      <c r="E707" s="273"/>
      <c r="F707" s="273"/>
      <c r="G707" s="273"/>
      <c r="H707" s="273"/>
      <c r="I707" s="273"/>
    </row>
    <row r="708">
      <c r="A708" s="273"/>
      <c r="B708" s="273"/>
      <c r="C708" s="273"/>
      <c r="D708" s="273"/>
      <c r="E708" s="273"/>
      <c r="F708" s="273"/>
      <c r="G708" s="273"/>
      <c r="H708" s="273"/>
      <c r="I708" s="273"/>
    </row>
    <row r="709">
      <c r="A709" s="273"/>
      <c r="B709" s="273"/>
      <c r="C709" s="273"/>
      <c r="D709" s="273"/>
      <c r="E709" s="273"/>
      <c r="F709" s="273"/>
      <c r="G709" s="273"/>
      <c r="H709" s="273"/>
      <c r="I709" s="273"/>
    </row>
    <row r="710">
      <c r="A710" s="273"/>
      <c r="B710" s="273"/>
      <c r="C710" s="273"/>
      <c r="D710" s="273"/>
      <c r="E710" s="273"/>
      <c r="F710" s="273"/>
      <c r="G710" s="273"/>
      <c r="H710" s="273"/>
      <c r="I710" s="273"/>
    </row>
    <row r="711">
      <c r="A711" s="273"/>
      <c r="B711" s="273"/>
      <c r="C711" s="273"/>
      <c r="D711" s="273"/>
      <c r="E711" s="273"/>
      <c r="F711" s="273"/>
      <c r="G711" s="273"/>
      <c r="H711" s="273"/>
      <c r="I711" s="273"/>
    </row>
    <row r="712">
      <c r="A712" s="273"/>
      <c r="B712" s="273"/>
      <c r="C712" s="273"/>
      <c r="D712" s="273"/>
      <c r="E712" s="273"/>
      <c r="F712" s="273"/>
      <c r="G712" s="273"/>
      <c r="H712" s="273"/>
      <c r="I712" s="273"/>
    </row>
    <row r="713">
      <c r="A713" s="273"/>
      <c r="B713" s="273"/>
      <c r="C713" s="273"/>
      <c r="D713" s="273"/>
      <c r="E713" s="273"/>
      <c r="F713" s="273"/>
      <c r="G713" s="273"/>
      <c r="H713" s="273"/>
      <c r="I713" s="273"/>
    </row>
    <row r="714">
      <c r="A714" s="273"/>
      <c r="B714" s="273"/>
      <c r="C714" s="273"/>
      <c r="D714" s="273"/>
      <c r="E714" s="273"/>
      <c r="F714" s="273"/>
      <c r="G714" s="273"/>
      <c r="H714" s="273"/>
      <c r="I714" s="273"/>
    </row>
    <row r="715">
      <c r="A715" s="273"/>
      <c r="B715" s="273"/>
      <c r="C715" s="273"/>
      <c r="D715" s="273"/>
      <c r="E715" s="273"/>
      <c r="F715" s="273"/>
      <c r="G715" s="273"/>
      <c r="H715" s="273"/>
      <c r="I715" s="273"/>
    </row>
    <row r="716">
      <c r="A716" s="273"/>
      <c r="B716" s="273"/>
      <c r="C716" s="273"/>
      <c r="D716" s="273"/>
      <c r="E716" s="273"/>
      <c r="F716" s="273"/>
      <c r="G716" s="273"/>
      <c r="H716" s="273"/>
      <c r="I716" s="273"/>
    </row>
    <row r="717">
      <c r="A717" s="273"/>
      <c r="B717" s="273"/>
      <c r="C717" s="273"/>
      <c r="D717" s="273"/>
      <c r="E717" s="273"/>
      <c r="F717" s="273"/>
      <c r="G717" s="273"/>
      <c r="H717" s="273"/>
      <c r="I717" s="273"/>
    </row>
    <row r="718">
      <c r="A718" s="273"/>
      <c r="B718" s="273"/>
      <c r="C718" s="273"/>
      <c r="D718" s="273"/>
      <c r="E718" s="273"/>
      <c r="F718" s="273"/>
      <c r="G718" s="273"/>
      <c r="H718" s="273"/>
      <c r="I718" s="273"/>
    </row>
    <row r="719">
      <c r="A719" s="273"/>
      <c r="B719" s="273"/>
      <c r="C719" s="273"/>
      <c r="D719" s="273"/>
      <c r="E719" s="273"/>
      <c r="F719" s="273"/>
      <c r="G719" s="273"/>
      <c r="H719" s="273"/>
      <c r="I719" s="273"/>
    </row>
    <row r="720">
      <c r="A720" s="273"/>
      <c r="B720" s="273"/>
      <c r="C720" s="273"/>
      <c r="D720" s="273"/>
      <c r="E720" s="273"/>
      <c r="F720" s="273"/>
      <c r="G720" s="273"/>
      <c r="H720" s="273"/>
      <c r="I720" s="273"/>
    </row>
    <row r="721">
      <c r="A721" s="273"/>
      <c r="B721" s="273"/>
      <c r="C721" s="273"/>
      <c r="D721" s="273"/>
      <c r="E721" s="273"/>
      <c r="F721" s="273"/>
      <c r="G721" s="273"/>
      <c r="H721" s="273"/>
      <c r="I721" s="273"/>
    </row>
    <row r="722">
      <c r="A722" s="273"/>
      <c r="B722" s="273"/>
      <c r="C722" s="273"/>
      <c r="D722" s="273"/>
      <c r="E722" s="273"/>
      <c r="F722" s="273"/>
      <c r="G722" s="273"/>
      <c r="H722" s="273"/>
      <c r="I722" s="273"/>
    </row>
    <row r="723">
      <c r="A723" s="273"/>
      <c r="B723" s="273"/>
      <c r="C723" s="273"/>
      <c r="D723" s="273"/>
      <c r="E723" s="273"/>
      <c r="F723" s="273"/>
      <c r="G723" s="273"/>
      <c r="H723" s="273"/>
      <c r="I723" s="273"/>
    </row>
    <row r="724">
      <c r="A724" s="273"/>
      <c r="B724" s="273"/>
      <c r="C724" s="273"/>
      <c r="D724" s="273"/>
      <c r="E724" s="273"/>
      <c r="F724" s="273"/>
      <c r="G724" s="273"/>
      <c r="H724" s="273"/>
      <c r="I724" s="273"/>
    </row>
    <row r="725">
      <c r="A725" s="273"/>
      <c r="B725" s="273"/>
      <c r="C725" s="273"/>
      <c r="D725" s="273"/>
      <c r="E725" s="273"/>
      <c r="F725" s="273"/>
      <c r="G725" s="273"/>
      <c r="H725" s="273"/>
      <c r="I725" s="273"/>
    </row>
    <row r="726">
      <c r="A726" s="273"/>
      <c r="B726" s="273"/>
      <c r="C726" s="273"/>
      <c r="D726" s="273"/>
      <c r="E726" s="273"/>
      <c r="F726" s="273"/>
      <c r="G726" s="273"/>
      <c r="H726" s="273"/>
      <c r="I726" s="273"/>
    </row>
    <row r="727">
      <c r="A727" s="273"/>
      <c r="B727" s="273"/>
      <c r="C727" s="273"/>
      <c r="D727" s="273"/>
      <c r="E727" s="273"/>
      <c r="F727" s="273"/>
      <c r="G727" s="273"/>
      <c r="H727" s="273"/>
      <c r="I727" s="273"/>
    </row>
    <row r="728">
      <c r="A728" s="273"/>
      <c r="B728" s="273"/>
      <c r="C728" s="273"/>
      <c r="D728" s="273"/>
      <c r="E728" s="273"/>
      <c r="F728" s="273"/>
      <c r="G728" s="273"/>
      <c r="H728" s="273"/>
      <c r="I728" s="273"/>
    </row>
    <row r="729">
      <c r="A729" s="273"/>
      <c r="B729" s="273"/>
      <c r="C729" s="273"/>
      <c r="D729" s="273"/>
      <c r="E729" s="273"/>
      <c r="F729" s="273"/>
      <c r="G729" s="273"/>
      <c r="H729" s="273"/>
      <c r="I729" s="273"/>
    </row>
    <row r="730">
      <c r="A730" s="273"/>
      <c r="B730" s="273"/>
      <c r="C730" s="273"/>
      <c r="D730" s="273"/>
      <c r="E730" s="273"/>
      <c r="F730" s="273"/>
      <c r="G730" s="273"/>
      <c r="H730" s="273"/>
      <c r="I730" s="273"/>
    </row>
    <row r="731">
      <c r="A731" s="273"/>
      <c r="B731" s="273"/>
      <c r="C731" s="273"/>
      <c r="D731" s="273"/>
      <c r="E731" s="273"/>
      <c r="F731" s="273"/>
      <c r="G731" s="273"/>
      <c r="H731" s="273"/>
      <c r="I731" s="273"/>
    </row>
    <row r="732">
      <c r="A732" s="273"/>
      <c r="B732" s="273"/>
      <c r="C732" s="273"/>
      <c r="D732" s="273"/>
      <c r="E732" s="273"/>
      <c r="F732" s="273"/>
      <c r="G732" s="273"/>
      <c r="H732" s="273"/>
      <c r="I732" s="273"/>
    </row>
    <row r="733">
      <c r="A733" s="273"/>
      <c r="B733" s="273"/>
      <c r="C733" s="273"/>
      <c r="D733" s="273"/>
      <c r="E733" s="273"/>
      <c r="F733" s="273"/>
      <c r="G733" s="273"/>
      <c r="H733" s="273"/>
      <c r="I733" s="273"/>
    </row>
    <row r="734">
      <c r="A734" s="273"/>
      <c r="B734" s="273"/>
      <c r="C734" s="273"/>
      <c r="D734" s="273"/>
      <c r="E734" s="273"/>
      <c r="F734" s="273"/>
      <c r="G734" s="273"/>
      <c r="H734" s="273"/>
      <c r="I734" s="273"/>
    </row>
    <row r="735">
      <c r="A735" s="273"/>
      <c r="B735" s="273"/>
      <c r="C735" s="273"/>
      <c r="D735" s="273"/>
      <c r="E735" s="273"/>
      <c r="F735" s="273"/>
      <c r="G735" s="273"/>
      <c r="H735" s="273"/>
      <c r="I735" s="273"/>
    </row>
    <row r="736">
      <c r="A736" s="273"/>
      <c r="B736" s="273"/>
      <c r="C736" s="273"/>
      <c r="D736" s="273"/>
      <c r="E736" s="273"/>
      <c r="F736" s="273"/>
      <c r="G736" s="273"/>
      <c r="H736" s="273"/>
      <c r="I736" s="273"/>
    </row>
    <row r="737">
      <c r="A737" s="273"/>
      <c r="B737" s="273"/>
      <c r="C737" s="273"/>
      <c r="D737" s="273"/>
      <c r="E737" s="273"/>
      <c r="F737" s="273"/>
      <c r="G737" s="273"/>
      <c r="H737" s="273"/>
      <c r="I737" s="273"/>
    </row>
    <row r="738">
      <c r="A738" s="273"/>
      <c r="B738" s="273"/>
      <c r="C738" s="273"/>
      <c r="D738" s="273"/>
      <c r="E738" s="273"/>
      <c r="F738" s="273"/>
      <c r="G738" s="273"/>
      <c r="H738" s="273"/>
      <c r="I738" s="273"/>
    </row>
    <row r="739">
      <c r="A739" s="273"/>
      <c r="B739" s="273"/>
      <c r="C739" s="273"/>
      <c r="D739" s="273"/>
      <c r="E739" s="273"/>
      <c r="F739" s="273"/>
      <c r="G739" s="273"/>
      <c r="H739" s="273"/>
      <c r="I739" s="273"/>
    </row>
    <row r="740">
      <c r="A740" s="273"/>
      <c r="B740" s="273"/>
      <c r="C740" s="273"/>
      <c r="D740" s="273"/>
      <c r="E740" s="273"/>
      <c r="F740" s="273"/>
      <c r="G740" s="273"/>
      <c r="H740" s="273"/>
      <c r="I740" s="273"/>
    </row>
    <row r="741">
      <c r="A741" s="273"/>
      <c r="B741" s="273"/>
      <c r="C741" s="273"/>
      <c r="D741" s="273"/>
      <c r="E741" s="273"/>
      <c r="F741" s="273"/>
      <c r="G741" s="273"/>
      <c r="H741" s="273"/>
      <c r="I741" s="273"/>
    </row>
    <row r="742">
      <c r="A742" s="273"/>
      <c r="B742" s="273"/>
      <c r="C742" s="273"/>
      <c r="D742" s="273"/>
      <c r="E742" s="273"/>
      <c r="F742" s="273"/>
      <c r="G742" s="273"/>
      <c r="H742" s="273"/>
      <c r="I742" s="273"/>
    </row>
    <row r="743">
      <c r="A743" s="273"/>
      <c r="B743" s="273"/>
      <c r="C743" s="273"/>
      <c r="D743" s="273"/>
      <c r="E743" s="273"/>
      <c r="F743" s="273"/>
      <c r="G743" s="273"/>
      <c r="H743" s="273"/>
      <c r="I743" s="273"/>
    </row>
    <row r="744">
      <c r="A744" s="273"/>
      <c r="B744" s="273"/>
      <c r="C744" s="273"/>
      <c r="D744" s="273"/>
      <c r="E744" s="273"/>
      <c r="F744" s="273"/>
      <c r="G744" s="273"/>
      <c r="H744" s="273"/>
      <c r="I744" s="273"/>
    </row>
    <row r="745">
      <c r="A745" s="273"/>
      <c r="B745" s="273"/>
      <c r="C745" s="273"/>
      <c r="D745" s="273"/>
      <c r="E745" s="273"/>
      <c r="F745" s="273"/>
      <c r="G745" s="273"/>
      <c r="H745" s="273"/>
      <c r="I745" s="273"/>
    </row>
    <row r="746">
      <c r="A746" s="273"/>
      <c r="B746" s="273"/>
      <c r="C746" s="273"/>
      <c r="D746" s="273"/>
      <c r="E746" s="273"/>
      <c r="F746" s="273"/>
      <c r="G746" s="273"/>
      <c r="H746" s="273"/>
      <c r="I746" s="273"/>
    </row>
    <row r="747">
      <c r="A747" s="273"/>
      <c r="B747" s="273"/>
      <c r="C747" s="273"/>
      <c r="D747" s="273"/>
      <c r="E747" s="273"/>
      <c r="F747" s="273"/>
      <c r="G747" s="273"/>
      <c r="H747" s="273"/>
      <c r="I747" s="273"/>
    </row>
    <row r="748">
      <c r="A748" s="273"/>
      <c r="B748" s="273"/>
      <c r="C748" s="273"/>
      <c r="D748" s="273"/>
      <c r="E748" s="273"/>
      <c r="F748" s="273"/>
      <c r="G748" s="273"/>
      <c r="H748" s="273"/>
      <c r="I748" s="273"/>
    </row>
    <row r="749">
      <c r="A749" s="273"/>
      <c r="B749" s="273"/>
      <c r="C749" s="273"/>
      <c r="D749" s="273"/>
      <c r="E749" s="273"/>
      <c r="F749" s="273"/>
      <c r="G749" s="273"/>
      <c r="H749" s="273"/>
      <c r="I749" s="273"/>
    </row>
    <row r="750">
      <c r="A750" s="273"/>
      <c r="B750" s="273"/>
      <c r="C750" s="273"/>
      <c r="D750" s="273"/>
      <c r="E750" s="273"/>
      <c r="F750" s="273"/>
      <c r="G750" s="273"/>
      <c r="H750" s="273"/>
      <c r="I750" s="273"/>
    </row>
    <row r="751">
      <c r="A751" s="273"/>
      <c r="B751" s="273"/>
      <c r="C751" s="273"/>
      <c r="D751" s="273"/>
      <c r="E751" s="273"/>
      <c r="F751" s="273"/>
      <c r="G751" s="273"/>
      <c r="H751" s="273"/>
      <c r="I751" s="273"/>
    </row>
    <row r="752">
      <c r="A752" s="273"/>
      <c r="B752" s="273"/>
      <c r="C752" s="273"/>
      <c r="D752" s="273"/>
      <c r="E752" s="273"/>
      <c r="F752" s="273"/>
      <c r="G752" s="273"/>
      <c r="H752" s="273"/>
      <c r="I752" s="273"/>
    </row>
    <row r="753">
      <c r="A753" s="273"/>
      <c r="B753" s="273"/>
      <c r="C753" s="273"/>
      <c r="D753" s="273"/>
      <c r="E753" s="273"/>
      <c r="F753" s="273"/>
      <c r="G753" s="273"/>
      <c r="H753" s="273"/>
      <c r="I753" s="273"/>
    </row>
    <row r="754">
      <c r="A754" s="273"/>
      <c r="B754" s="273"/>
      <c r="C754" s="273"/>
      <c r="D754" s="273"/>
      <c r="E754" s="273"/>
      <c r="F754" s="273"/>
      <c r="G754" s="273"/>
      <c r="H754" s="273"/>
      <c r="I754" s="273"/>
    </row>
    <row r="755">
      <c r="A755" s="273"/>
      <c r="B755" s="273"/>
      <c r="C755" s="273"/>
      <c r="D755" s="273"/>
      <c r="E755" s="273"/>
      <c r="F755" s="273"/>
      <c r="G755" s="273"/>
      <c r="H755" s="273"/>
      <c r="I755" s="273"/>
    </row>
    <row r="756">
      <c r="A756" s="273"/>
      <c r="B756" s="273"/>
      <c r="C756" s="273"/>
      <c r="D756" s="273"/>
      <c r="E756" s="273"/>
      <c r="F756" s="273"/>
      <c r="G756" s="273"/>
      <c r="H756" s="273"/>
      <c r="I756" s="273"/>
    </row>
    <row r="757">
      <c r="A757" s="273"/>
      <c r="B757" s="273"/>
      <c r="C757" s="273"/>
      <c r="D757" s="273"/>
      <c r="E757" s="273"/>
      <c r="F757" s="273"/>
      <c r="G757" s="273"/>
      <c r="H757" s="273"/>
      <c r="I757" s="273"/>
    </row>
    <row r="758">
      <c r="A758" s="273"/>
      <c r="B758" s="273"/>
      <c r="C758" s="273"/>
      <c r="D758" s="273"/>
      <c r="E758" s="273"/>
      <c r="F758" s="273"/>
      <c r="G758" s="273"/>
      <c r="H758" s="273"/>
      <c r="I758" s="273"/>
    </row>
    <row r="759">
      <c r="A759" s="273"/>
      <c r="B759" s="273"/>
      <c r="C759" s="273"/>
      <c r="D759" s="273"/>
      <c r="E759" s="273"/>
      <c r="F759" s="273"/>
      <c r="G759" s="273"/>
      <c r="H759" s="273"/>
      <c r="I759" s="273"/>
    </row>
    <row r="760">
      <c r="A760" s="273"/>
      <c r="B760" s="273"/>
      <c r="C760" s="273"/>
      <c r="D760" s="273"/>
      <c r="E760" s="273"/>
      <c r="F760" s="273"/>
      <c r="G760" s="273"/>
      <c r="H760" s="273"/>
      <c r="I760" s="273"/>
    </row>
    <row r="761">
      <c r="A761" s="273"/>
      <c r="B761" s="273"/>
      <c r="C761" s="273"/>
      <c r="D761" s="273"/>
      <c r="E761" s="273"/>
      <c r="F761" s="273"/>
      <c r="G761" s="273"/>
      <c r="H761" s="273"/>
      <c r="I761" s="273"/>
    </row>
    <row r="762">
      <c r="A762" s="273"/>
      <c r="B762" s="273"/>
      <c r="C762" s="273"/>
      <c r="D762" s="273"/>
      <c r="E762" s="273"/>
      <c r="F762" s="273"/>
      <c r="G762" s="273"/>
      <c r="H762" s="273"/>
      <c r="I762" s="273"/>
    </row>
    <row r="763">
      <c r="A763" s="273"/>
      <c r="B763" s="273"/>
      <c r="C763" s="273"/>
      <c r="D763" s="273"/>
      <c r="E763" s="273"/>
      <c r="F763" s="273"/>
      <c r="G763" s="273"/>
      <c r="H763" s="273"/>
      <c r="I763" s="273"/>
    </row>
    <row r="764">
      <c r="A764" s="273"/>
      <c r="B764" s="273"/>
      <c r="C764" s="273"/>
      <c r="D764" s="273"/>
      <c r="E764" s="273"/>
      <c r="F764" s="273"/>
      <c r="G764" s="273"/>
      <c r="H764" s="273"/>
      <c r="I764" s="273"/>
    </row>
    <row r="765">
      <c r="A765" s="273"/>
      <c r="B765" s="273"/>
      <c r="C765" s="273"/>
      <c r="D765" s="273"/>
      <c r="E765" s="273"/>
      <c r="F765" s="273"/>
      <c r="G765" s="273"/>
      <c r="H765" s="273"/>
      <c r="I765" s="273"/>
    </row>
    <row r="766">
      <c r="A766" s="273"/>
      <c r="B766" s="273"/>
      <c r="C766" s="273"/>
      <c r="D766" s="273"/>
      <c r="E766" s="273"/>
      <c r="F766" s="273"/>
      <c r="G766" s="273"/>
      <c r="H766" s="273"/>
      <c r="I766" s="273"/>
    </row>
    <row r="767">
      <c r="A767" s="273"/>
      <c r="B767" s="273"/>
      <c r="C767" s="273"/>
      <c r="D767" s="273"/>
      <c r="E767" s="273"/>
      <c r="F767" s="273"/>
      <c r="G767" s="273"/>
      <c r="H767" s="273"/>
      <c r="I767" s="273"/>
    </row>
    <row r="768">
      <c r="A768" s="273"/>
      <c r="B768" s="273"/>
      <c r="C768" s="273"/>
      <c r="D768" s="273"/>
      <c r="E768" s="273"/>
      <c r="F768" s="273"/>
      <c r="G768" s="273"/>
      <c r="H768" s="273"/>
      <c r="I768" s="273"/>
    </row>
    <row r="769">
      <c r="A769" s="273"/>
      <c r="B769" s="273"/>
      <c r="C769" s="273"/>
      <c r="D769" s="273"/>
      <c r="E769" s="273"/>
      <c r="F769" s="273"/>
      <c r="G769" s="273"/>
      <c r="H769" s="273"/>
      <c r="I769" s="273"/>
    </row>
    <row r="770">
      <c r="A770" s="273"/>
      <c r="B770" s="273"/>
      <c r="C770" s="273"/>
      <c r="D770" s="273"/>
      <c r="E770" s="273"/>
      <c r="F770" s="273"/>
      <c r="G770" s="273"/>
      <c r="H770" s="273"/>
      <c r="I770" s="273"/>
    </row>
    <row r="771">
      <c r="A771" s="273"/>
      <c r="B771" s="273"/>
      <c r="C771" s="273"/>
      <c r="D771" s="273"/>
      <c r="E771" s="273"/>
      <c r="F771" s="273"/>
      <c r="G771" s="273"/>
      <c r="H771" s="273"/>
      <c r="I771" s="273"/>
    </row>
    <row r="772">
      <c r="A772" s="273"/>
      <c r="B772" s="273"/>
      <c r="C772" s="273"/>
      <c r="D772" s="273"/>
      <c r="E772" s="273"/>
      <c r="F772" s="273"/>
      <c r="G772" s="273"/>
      <c r="H772" s="273"/>
      <c r="I772" s="273"/>
    </row>
    <row r="773">
      <c r="A773" s="273"/>
      <c r="B773" s="273"/>
      <c r="C773" s="273"/>
      <c r="D773" s="273"/>
      <c r="E773" s="273"/>
      <c r="F773" s="273"/>
      <c r="G773" s="273"/>
      <c r="H773" s="273"/>
      <c r="I773" s="273"/>
    </row>
    <row r="774">
      <c r="A774" s="273"/>
      <c r="B774" s="273"/>
      <c r="C774" s="273"/>
      <c r="D774" s="273"/>
      <c r="E774" s="273"/>
      <c r="F774" s="273"/>
      <c r="G774" s="273"/>
      <c r="H774" s="273"/>
      <c r="I774" s="273"/>
    </row>
    <row r="775">
      <c r="A775" s="273"/>
      <c r="B775" s="273"/>
      <c r="C775" s="273"/>
      <c r="D775" s="273"/>
      <c r="E775" s="273"/>
      <c r="F775" s="273"/>
      <c r="G775" s="273"/>
      <c r="H775" s="273"/>
      <c r="I775" s="273"/>
    </row>
    <row r="776">
      <c r="A776" s="273"/>
      <c r="B776" s="273"/>
      <c r="C776" s="273"/>
      <c r="D776" s="273"/>
      <c r="E776" s="273"/>
      <c r="F776" s="273"/>
      <c r="G776" s="273"/>
      <c r="H776" s="273"/>
      <c r="I776" s="273"/>
    </row>
    <row r="777">
      <c r="A777" s="273"/>
      <c r="B777" s="273"/>
      <c r="C777" s="273"/>
      <c r="D777" s="273"/>
      <c r="E777" s="273"/>
      <c r="F777" s="273"/>
      <c r="G777" s="273"/>
      <c r="H777" s="273"/>
      <c r="I777" s="273"/>
    </row>
    <row r="778">
      <c r="A778" s="273"/>
      <c r="B778" s="273"/>
      <c r="C778" s="273"/>
      <c r="D778" s="273"/>
      <c r="E778" s="273"/>
      <c r="F778" s="273"/>
      <c r="G778" s="273"/>
      <c r="H778" s="273"/>
      <c r="I778" s="273"/>
    </row>
    <row r="779">
      <c r="A779" s="273"/>
      <c r="B779" s="273"/>
      <c r="C779" s="273"/>
      <c r="D779" s="273"/>
      <c r="E779" s="273"/>
      <c r="F779" s="273"/>
      <c r="G779" s="273"/>
      <c r="H779" s="273"/>
      <c r="I779" s="273"/>
    </row>
    <row r="780">
      <c r="A780" s="273"/>
      <c r="B780" s="273"/>
      <c r="C780" s="273"/>
      <c r="D780" s="273"/>
      <c r="E780" s="273"/>
      <c r="F780" s="273"/>
      <c r="G780" s="273"/>
      <c r="H780" s="273"/>
      <c r="I780" s="273"/>
    </row>
    <row r="781">
      <c r="A781" s="273"/>
      <c r="B781" s="273"/>
      <c r="C781" s="273"/>
      <c r="D781" s="273"/>
      <c r="E781" s="273"/>
      <c r="F781" s="273"/>
      <c r="G781" s="273"/>
      <c r="H781" s="273"/>
      <c r="I781" s="273"/>
    </row>
    <row r="782">
      <c r="A782" s="273"/>
      <c r="B782" s="273"/>
      <c r="C782" s="273"/>
      <c r="D782" s="273"/>
      <c r="E782" s="273"/>
      <c r="F782" s="273"/>
      <c r="G782" s="273"/>
      <c r="H782" s="273"/>
      <c r="I782" s="273"/>
    </row>
    <row r="783">
      <c r="A783" s="273"/>
      <c r="B783" s="273"/>
      <c r="C783" s="273"/>
      <c r="D783" s="273"/>
      <c r="E783" s="273"/>
      <c r="F783" s="273"/>
      <c r="G783" s="273"/>
      <c r="H783" s="273"/>
      <c r="I783" s="273"/>
    </row>
    <row r="784">
      <c r="A784" s="273"/>
      <c r="B784" s="273"/>
      <c r="C784" s="273"/>
      <c r="D784" s="273"/>
      <c r="E784" s="273"/>
      <c r="F784" s="273"/>
      <c r="G784" s="273"/>
      <c r="H784" s="273"/>
      <c r="I784" s="273"/>
    </row>
    <row r="785">
      <c r="A785" s="273"/>
      <c r="B785" s="273"/>
      <c r="C785" s="273"/>
      <c r="D785" s="273"/>
      <c r="E785" s="273"/>
      <c r="F785" s="273"/>
      <c r="G785" s="273"/>
      <c r="H785" s="273"/>
      <c r="I785" s="273"/>
    </row>
    <row r="786">
      <c r="A786" s="273"/>
      <c r="B786" s="273"/>
      <c r="C786" s="273"/>
      <c r="D786" s="273"/>
      <c r="E786" s="273"/>
      <c r="F786" s="273"/>
      <c r="G786" s="273"/>
      <c r="H786" s="273"/>
      <c r="I786" s="273"/>
    </row>
    <row r="787">
      <c r="A787" s="273"/>
      <c r="B787" s="273"/>
      <c r="C787" s="273"/>
      <c r="D787" s="273"/>
      <c r="E787" s="273"/>
      <c r="F787" s="273"/>
      <c r="G787" s="273"/>
      <c r="H787" s="273"/>
      <c r="I787" s="273"/>
    </row>
    <row r="788">
      <c r="A788" s="273"/>
      <c r="B788" s="273"/>
      <c r="C788" s="273"/>
      <c r="D788" s="273"/>
      <c r="E788" s="273"/>
      <c r="F788" s="273"/>
      <c r="G788" s="273"/>
      <c r="H788" s="273"/>
      <c r="I788" s="273"/>
    </row>
    <row r="789">
      <c r="A789" s="273"/>
      <c r="B789" s="273"/>
      <c r="C789" s="273"/>
      <c r="D789" s="273"/>
      <c r="E789" s="273"/>
      <c r="F789" s="273"/>
      <c r="G789" s="273"/>
      <c r="H789" s="273"/>
      <c r="I789" s="273"/>
    </row>
    <row r="790">
      <c r="A790" s="273"/>
      <c r="B790" s="273"/>
      <c r="C790" s="273"/>
      <c r="D790" s="273"/>
      <c r="E790" s="273"/>
      <c r="F790" s="273"/>
      <c r="G790" s="273"/>
      <c r="H790" s="273"/>
      <c r="I790" s="273"/>
    </row>
    <row r="791">
      <c r="A791" s="273"/>
      <c r="B791" s="273"/>
      <c r="C791" s="273"/>
      <c r="D791" s="273"/>
      <c r="E791" s="273"/>
      <c r="F791" s="273"/>
      <c r="G791" s="273"/>
      <c r="H791" s="273"/>
      <c r="I791" s="273"/>
    </row>
    <row r="792">
      <c r="A792" s="273"/>
      <c r="B792" s="273"/>
      <c r="C792" s="273"/>
      <c r="D792" s="273"/>
      <c r="E792" s="273"/>
      <c r="F792" s="273"/>
      <c r="G792" s="273"/>
      <c r="H792" s="273"/>
      <c r="I792" s="273"/>
    </row>
    <row r="793">
      <c r="A793" s="273"/>
      <c r="B793" s="273"/>
      <c r="C793" s="273"/>
      <c r="D793" s="273"/>
      <c r="E793" s="273"/>
      <c r="F793" s="273"/>
      <c r="G793" s="273"/>
      <c r="H793" s="273"/>
      <c r="I793" s="273"/>
    </row>
    <row r="794">
      <c r="A794" s="273"/>
      <c r="B794" s="273"/>
      <c r="C794" s="273"/>
      <c r="D794" s="273"/>
      <c r="E794" s="273"/>
      <c r="F794" s="273"/>
      <c r="G794" s="273"/>
      <c r="H794" s="273"/>
      <c r="I794" s="273"/>
    </row>
    <row r="795">
      <c r="A795" s="273"/>
      <c r="B795" s="273"/>
      <c r="C795" s="273"/>
      <c r="D795" s="273"/>
      <c r="E795" s="273"/>
      <c r="F795" s="273"/>
      <c r="G795" s="273"/>
      <c r="H795" s="273"/>
      <c r="I795" s="273"/>
    </row>
    <row r="796">
      <c r="A796" s="273"/>
      <c r="B796" s="273"/>
      <c r="C796" s="273"/>
      <c r="D796" s="273"/>
      <c r="E796" s="273"/>
      <c r="F796" s="273"/>
      <c r="G796" s="273"/>
      <c r="H796" s="273"/>
      <c r="I796" s="273"/>
    </row>
    <row r="797">
      <c r="A797" s="273"/>
      <c r="B797" s="273"/>
      <c r="C797" s="273"/>
      <c r="D797" s="273"/>
      <c r="E797" s="273"/>
      <c r="F797" s="273"/>
      <c r="G797" s="273"/>
      <c r="H797" s="273"/>
      <c r="I797" s="273"/>
    </row>
    <row r="798">
      <c r="A798" s="273"/>
      <c r="B798" s="273"/>
      <c r="C798" s="273"/>
      <c r="D798" s="273"/>
      <c r="E798" s="273"/>
      <c r="F798" s="273"/>
      <c r="G798" s="273"/>
      <c r="H798" s="273"/>
      <c r="I798" s="273"/>
    </row>
    <row r="799">
      <c r="A799" s="273"/>
      <c r="B799" s="273"/>
      <c r="C799" s="273"/>
      <c r="D799" s="273"/>
      <c r="E799" s="273"/>
      <c r="F799" s="273"/>
      <c r="G799" s="273"/>
      <c r="H799" s="273"/>
      <c r="I799" s="273"/>
    </row>
    <row r="800">
      <c r="A800" s="273"/>
      <c r="B800" s="273"/>
      <c r="C800" s="273"/>
      <c r="D800" s="273"/>
      <c r="E800" s="273"/>
      <c r="F800" s="273"/>
      <c r="G800" s="273"/>
      <c r="H800" s="273"/>
      <c r="I800" s="273"/>
    </row>
    <row r="801">
      <c r="A801" s="273"/>
      <c r="B801" s="273"/>
      <c r="C801" s="273"/>
      <c r="D801" s="273"/>
      <c r="E801" s="273"/>
      <c r="F801" s="273"/>
      <c r="G801" s="273"/>
      <c r="H801" s="273"/>
      <c r="I801" s="273"/>
    </row>
    <row r="802">
      <c r="A802" s="273"/>
      <c r="B802" s="273"/>
      <c r="C802" s="273"/>
      <c r="D802" s="273"/>
      <c r="E802" s="273"/>
      <c r="F802" s="273"/>
      <c r="G802" s="273"/>
      <c r="H802" s="273"/>
      <c r="I802" s="273"/>
    </row>
    <row r="803">
      <c r="A803" s="273"/>
      <c r="B803" s="273"/>
      <c r="C803" s="273"/>
      <c r="D803" s="273"/>
      <c r="E803" s="273"/>
      <c r="F803" s="273"/>
      <c r="G803" s="273"/>
      <c r="H803" s="273"/>
      <c r="I803" s="273"/>
    </row>
    <row r="804">
      <c r="A804" s="273"/>
      <c r="B804" s="273"/>
      <c r="C804" s="273"/>
      <c r="D804" s="273"/>
      <c r="E804" s="273"/>
      <c r="F804" s="273"/>
      <c r="G804" s="273"/>
      <c r="H804" s="273"/>
      <c r="I804" s="273"/>
    </row>
    <row r="805">
      <c r="A805" s="273"/>
      <c r="B805" s="273"/>
      <c r="C805" s="273"/>
      <c r="D805" s="273"/>
      <c r="E805" s="273"/>
      <c r="F805" s="273"/>
      <c r="G805" s="273"/>
      <c r="H805" s="273"/>
      <c r="I805" s="273"/>
    </row>
    <row r="806">
      <c r="A806" s="273"/>
      <c r="B806" s="273"/>
      <c r="C806" s="273"/>
      <c r="D806" s="273"/>
      <c r="E806" s="273"/>
      <c r="F806" s="273"/>
      <c r="G806" s="273"/>
      <c r="H806" s="273"/>
      <c r="I806" s="273"/>
    </row>
    <row r="807">
      <c r="A807" s="273"/>
      <c r="B807" s="273"/>
      <c r="C807" s="273"/>
      <c r="D807" s="273"/>
      <c r="E807" s="273"/>
      <c r="F807" s="273"/>
      <c r="G807" s="273"/>
      <c r="H807" s="273"/>
      <c r="I807" s="273"/>
    </row>
    <row r="808">
      <c r="A808" s="273"/>
      <c r="B808" s="273"/>
      <c r="C808" s="273"/>
      <c r="D808" s="273"/>
      <c r="E808" s="273"/>
      <c r="F808" s="273"/>
      <c r="G808" s="273"/>
      <c r="H808" s="273"/>
      <c r="I808" s="273"/>
    </row>
    <row r="809">
      <c r="A809" s="273"/>
      <c r="B809" s="273"/>
      <c r="C809" s="273"/>
      <c r="D809" s="273"/>
      <c r="E809" s="273"/>
      <c r="F809" s="273"/>
      <c r="G809" s="273"/>
      <c r="H809" s="273"/>
      <c r="I809" s="273"/>
    </row>
    <row r="810">
      <c r="A810" s="273"/>
      <c r="B810" s="273"/>
      <c r="C810" s="273"/>
      <c r="D810" s="273"/>
      <c r="E810" s="273"/>
      <c r="F810" s="273"/>
      <c r="G810" s="273"/>
      <c r="H810" s="273"/>
      <c r="I810" s="273"/>
    </row>
    <row r="811">
      <c r="A811" s="273"/>
      <c r="B811" s="273"/>
      <c r="C811" s="273"/>
      <c r="D811" s="273"/>
      <c r="E811" s="273"/>
      <c r="F811" s="273"/>
      <c r="G811" s="273"/>
      <c r="H811" s="273"/>
      <c r="I811" s="273"/>
    </row>
    <row r="812">
      <c r="A812" s="273"/>
      <c r="B812" s="273"/>
      <c r="C812" s="273"/>
      <c r="D812" s="273"/>
      <c r="E812" s="273"/>
      <c r="F812" s="273"/>
      <c r="G812" s="273"/>
      <c r="H812" s="273"/>
      <c r="I812" s="273"/>
    </row>
    <row r="813">
      <c r="A813" s="273"/>
      <c r="B813" s="273"/>
      <c r="C813" s="273"/>
      <c r="D813" s="273"/>
      <c r="E813" s="273"/>
      <c r="F813" s="273"/>
      <c r="G813" s="273"/>
      <c r="H813" s="273"/>
      <c r="I813" s="273"/>
    </row>
    <row r="814">
      <c r="A814" s="273"/>
      <c r="B814" s="273"/>
      <c r="C814" s="273"/>
      <c r="D814" s="273"/>
      <c r="E814" s="273"/>
      <c r="F814" s="273"/>
      <c r="G814" s="273"/>
      <c r="H814" s="273"/>
      <c r="I814" s="273"/>
    </row>
    <row r="815">
      <c r="A815" s="273"/>
      <c r="B815" s="273"/>
      <c r="C815" s="273"/>
      <c r="D815" s="273"/>
      <c r="E815" s="273"/>
      <c r="F815" s="273"/>
      <c r="G815" s="273"/>
      <c r="H815" s="273"/>
      <c r="I815" s="273"/>
    </row>
    <row r="816">
      <c r="A816" s="273"/>
      <c r="B816" s="273"/>
      <c r="C816" s="273"/>
      <c r="D816" s="273"/>
      <c r="E816" s="273"/>
      <c r="F816" s="273"/>
      <c r="G816" s="273"/>
      <c r="H816" s="273"/>
      <c r="I816" s="273"/>
    </row>
    <row r="817">
      <c r="A817" s="273"/>
      <c r="B817" s="273"/>
      <c r="C817" s="273"/>
      <c r="D817" s="273"/>
      <c r="E817" s="273"/>
      <c r="F817" s="273"/>
      <c r="G817" s="273"/>
      <c r="H817" s="273"/>
      <c r="I817" s="273"/>
    </row>
    <row r="818">
      <c r="A818" s="273"/>
      <c r="B818" s="273"/>
      <c r="C818" s="273"/>
      <c r="D818" s="273"/>
      <c r="E818" s="273"/>
      <c r="F818" s="273"/>
      <c r="G818" s="273"/>
      <c r="H818" s="273"/>
      <c r="I818" s="273"/>
    </row>
    <row r="819">
      <c r="A819" s="273"/>
      <c r="B819" s="273"/>
      <c r="C819" s="273"/>
      <c r="D819" s="273"/>
      <c r="E819" s="273"/>
      <c r="F819" s="273"/>
      <c r="G819" s="273"/>
      <c r="H819" s="273"/>
      <c r="I819" s="273"/>
    </row>
    <row r="820">
      <c r="A820" s="273"/>
      <c r="B820" s="273"/>
      <c r="C820" s="273"/>
      <c r="D820" s="273"/>
      <c r="E820" s="273"/>
      <c r="F820" s="273"/>
      <c r="G820" s="273"/>
      <c r="H820" s="273"/>
      <c r="I820" s="273"/>
    </row>
    <row r="821">
      <c r="A821" s="273"/>
      <c r="B821" s="273"/>
      <c r="C821" s="273"/>
      <c r="D821" s="273"/>
      <c r="E821" s="273"/>
      <c r="F821" s="273"/>
      <c r="G821" s="273"/>
      <c r="H821" s="273"/>
      <c r="I821" s="273"/>
    </row>
    <row r="822">
      <c r="A822" s="273"/>
      <c r="B822" s="273"/>
      <c r="C822" s="273"/>
      <c r="D822" s="273"/>
      <c r="E822" s="273"/>
      <c r="F822" s="273"/>
      <c r="G822" s="273"/>
      <c r="H822" s="273"/>
      <c r="I822" s="273"/>
    </row>
    <row r="823">
      <c r="A823" s="273"/>
      <c r="B823" s="273"/>
      <c r="C823" s="273"/>
      <c r="D823" s="273"/>
      <c r="E823" s="273"/>
      <c r="F823" s="273"/>
      <c r="G823" s="273"/>
      <c r="H823" s="273"/>
      <c r="I823" s="273"/>
    </row>
    <row r="824">
      <c r="A824" s="273"/>
      <c r="B824" s="273"/>
      <c r="C824" s="273"/>
      <c r="D824" s="273"/>
      <c r="E824" s="273"/>
      <c r="F824" s="273"/>
      <c r="G824" s="273"/>
      <c r="H824" s="273"/>
      <c r="I824" s="273"/>
    </row>
    <row r="825">
      <c r="A825" s="273"/>
      <c r="B825" s="273"/>
      <c r="C825" s="273"/>
      <c r="D825" s="273"/>
      <c r="E825" s="273"/>
      <c r="F825" s="273"/>
      <c r="G825" s="273"/>
      <c r="H825" s="273"/>
      <c r="I825" s="273"/>
    </row>
    <row r="826">
      <c r="A826" s="273"/>
      <c r="B826" s="273"/>
      <c r="C826" s="273"/>
      <c r="D826" s="273"/>
      <c r="E826" s="273"/>
      <c r="F826" s="273"/>
      <c r="G826" s="273"/>
      <c r="H826" s="273"/>
      <c r="I826" s="273"/>
    </row>
    <row r="827">
      <c r="A827" s="273"/>
      <c r="B827" s="273"/>
      <c r="C827" s="273"/>
      <c r="D827" s="273"/>
      <c r="E827" s="273"/>
      <c r="F827" s="273"/>
      <c r="G827" s="273"/>
      <c r="H827" s="273"/>
      <c r="I827" s="273"/>
    </row>
    <row r="828">
      <c r="A828" s="273"/>
      <c r="B828" s="273"/>
      <c r="C828" s="273"/>
      <c r="D828" s="273"/>
      <c r="E828" s="273"/>
      <c r="F828" s="273"/>
      <c r="G828" s="273"/>
      <c r="H828" s="273"/>
      <c r="I828" s="273"/>
    </row>
    <row r="829">
      <c r="A829" s="273"/>
      <c r="B829" s="273"/>
      <c r="C829" s="273"/>
      <c r="D829" s="273"/>
      <c r="E829" s="273"/>
      <c r="F829" s="273"/>
      <c r="G829" s="273"/>
      <c r="H829" s="273"/>
      <c r="I829" s="273"/>
    </row>
    <row r="830">
      <c r="A830" s="273"/>
      <c r="B830" s="273"/>
      <c r="C830" s="273"/>
      <c r="D830" s="273"/>
      <c r="E830" s="273"/>
      <c r="F830" s="273"/>
      <c r="G830" s="273"/>
      <c r="H830" s="273"/>
      <c r="I830" s="273"/>
    </row>
    <row r="831">
      <c r="A831" s="273"/>
      <c r="B831" s="273"/>
      <c r="C831" s="273"/>
      <c r="D831" s="273"/>
      <c r="E831" s="273"/>
      <c r="F831" s="273"/>
      <c r="G831" s="273"/>
      <c r="H831" s="273"/>
      <c r="I831" s="273"/>
    </row>
    <row r="832">
      <c r="A832" s="273"/>
      <c r="B832" s="273"/>
      <c r="C832" s="273"/>
      <c r="D832" s="273"/>
      <c r="E832" s="273"/>
      <c r="F832" s="273"/>
      <c r="G832" s="273"/>
      <c r="H832" s="273"/>
      <c r="I832" s="273"/>
    </row>
    <row r="833">
      <c r="A833" s="273"/>
      <c r="B833" s="273"/>
      <c r="C833" s="273"/>
      <c r="D833" s="273"/>
      <c r="E833" s="273"/>
      <c r="F833" s="273"/>
      <c r="G833" s="273"/>
      <c r="H833" s="273"/>
      <c r="I833" s="273"/>
    </row>
    <row r="834">
      <c r="A834" s="273"/>
      <c r="B834" s="273"/>
      <c r="C834" s="273"/>
      <c r="D834" s="273"/>
      <c r="E834" s="273"/>
      <c r="F834" s="273"/>
      <c r="G834" s="273"/>
      <c r="H834" s="273"/>
      <c r="I834" s="273"/>
    </row>
    <row r="835">
      <c r="A835" s="273"/>
      <c r="B835" s="273"/>
      <c r="C835" s="273"/>
      <c r="D835" s="273"/>
      <c r="E835" s="273"/>
      <c r="F835" s="273"/>
      <c r="G835" s="273"/>
      <c r="H835" s="273"/>
      <c r="I835" s="273"/>
    </row>
    <row r="836">
      <c r="A836" s="273"/>
      <c r="B836" s="273"/>
      <c r="C836" s="273"/>
      <c r="D836" s="273"/>
      <c r="E836" s="273"/>
      <c r="F836" s="273"/>
      <c r="G836" s="273"/>
      <c r="H836" s="273"/>
      <c r="I836" s="273"/>
    </row>
    <row r="837">
      <c r="A837" s="273"/>
      <c r="B837" s="273"/>
      <c r="C837" s="273"/>
      <c r="D837" s="273"/>
      <c r="E837" s="273"/>
      <c r="F837" s="273"/>
      <c r="G837" s="273"/>
      <c r="H837" s="273"/>
      <c r="I837" s="273"/>
    </row>
    <row r="838">
      <c r="A838" s="273"/>
      <c r="B838" s="273"/>
      <c r="C838" s="273"/>
      <c r="D838" s="273"/>
      <c r="E838" s="273"/>
      <c r="F838" s="273"/>
      <c r="G838" s="273"/>
      <c r="H838" s="273"/>
      <c r="I838" s="273"/>
    </row>
    <row r="839">
      <c r="A839" s="273"/>
      <c r="B839" s="273"/>
      <c r="C839" s="273"/>
      <c r="D839" s="273"/>
      <c r="E839" s="273"/>
      <c r="F839" s="273"/>
      <c r="G839" s="273"/>
      <c r="H839" s="273"/>
      <c r="I839" s="273"/>
    </row>
    <row r="840">
      <c r="A840" s="273"/>
      <c r="B840" s="273"/>
      <c r="C840" s="273"/>
      <c r="D840" s="273"/>
      <c r="E840" s="273"/>
      <c r="F840" s="273"/>
      <c r="G840" s="273"/>
      <c r="H840" s="273"/>
      <c r="I840" s="273"/>
    </row>
    <row r="841">
      <c r="A841" s="273"/>
      <c r="B841" s="273"/>
      <c r="C841" s="273"/>
      <c r="D841" s="273"/>
      <c r="E841" s="273"/>
      <c r="F841" s="273"/>
      <c r="G841" s="273"/>
      <c r="H841" s="273"/>
      <c r="I841" s="273"/>
    </row>
    <row r="842">
      <c r="A842" s="273"/>
      <c r="B842" s="273"/>
      <c r="C842" s="273"/>
      <c r="D842" s="273"/>
      <c r="E842" s="273"/>
      <c r="F842" s="273"/>
      <c r="G842" s="273"/>
      <c r="H842" s="273"/>
      <c r="I842" s="273"/>
    </row>
    <row r="843">
      <c r="A843" s="273"/>
      <c r="B843" s="273"/>
      <c r="C843" s="273"/>
      <c r="D843" s="273"/>
      <c r="E843" s="273"/>
      <c r="F843" s="273"/>
      <c r="G843" s="273"/>
      <c r="H843" s="273"/>
      <c r="I843" s="273"/>
    </row>
    <row r="844">
      <c r="A844" s="273"/>
      <c r="B844" s="273"/>
      <c r="C844" s="273"/>
      <c r="D844" s="273"/>
      <c r="E844" s="273"/>
      <c r="F844" s="273"/>
      <c r="G844" s="273"/>
      <c r="H844" s="273"/>
      <c r="I844" s="273"/>
    </row>
    <row r="845">
      <c r="A845" s="273"/>
      <c r="B845" s="273"/>
      <c r="C845" s="273"/>
      <c r="D845" s="273"/>
      <c r="E845" s="273"/>
      <c r="F845" s="273"/>
      <c r="G845" s="273"/>
      <c r="H845" s="273"/>
      <c r="I845" s="273"/>
    </row>
    <row r="846">
      <c r="A846" s="273"/>
      <c r="B846" s="273"/>
      <c r="C846" s="273"/>
      <c r="D846" s="273"/>
      <c r="E846" s="273"/>
      <c r="F846" s="273"/>
      <c r="G846" s="273"/>
      <c r="H846" s="273"/>
      <c r="I846" s="273"/>
    </row>
    <row r="847">
      <c r="A847" s="273"/>
      <c r="B847" s="273"/>
      <c r="C847" s="273"/>
      <c r="D847" s="273"/>
      <c r="E847" s="273"/>
      <c r="F847" s="273"/>
      <c r="G847" s="273"/>
      <c r="H847" s="273"/>
      <c r="I847" s="273"/>
    </row>
    <row r="848">
      <c r="A848" s="273"/>
      <c r="B848" s="273"/>
      <c r="C848" s="273"/>
      <c r="D848" s="273"/>
      <c r="E848" s="273"/>
      <c r="F848" s="273"/>
      <c r="G848" s="273"/>
      <c r="H848" s="273"/>
      <c r="I848" s="273"/>
    </row>
    <row r="849">
      <c r="A849" s="273"/>
      <c r="B849" s="273"/>
      <c r="C849" s="273"/>
      <c r="D849" s="273"/>
      <c r="E849" s="273"/>
      <c r="F849" s="273"/>
      <c r="G849" s="273"/>
      <c r="H849" s="273"/>
      <c r="I849" s="273"/>
    </row>
    <row r="850">
      <c r="A850" s="273"/>
      <c r="B850" s="273"/>
      <c r="C850" s="273"/>
      <c r="D850" s="273"/>
      <c r="E850" s="273"/>
      <c r="F850" s="273"/>
      <c r="G850" s="273"/>
      <c r="H850" s="273"/>
      <c r="I850" s="273"/>
    </row>
    <row r="851">
      <c r="A851" s="273"/>
      <c r="B851" s="273"/>
      <c r="C851" s="273"/>
      <c r="D851" s="273"/>
      <c r="E851" s="273"/>
      <c r="F851" s="273"/>
      <c r="G851" s="273"/>
      <c r="H851" s="273"/>
      <c r="I851" s="273"/>
    </row>
    <row r="852">
      <c r="A852" s="273"/>
      <c r="B852" s="273"/>
      <c r="C852" s="273"/>
      <c r="D852" s="273"/>
      <c r="E852" s="273"/>
      <c r="F852" s="273"/>
      <c r="G852" s="273"/>
      <c r="H852" s="273"/>
      <c r="I852" s="273"/>
    </row>
    <row r="853">
      <c r="A853" s="273"/>
      <c r="B853" s="273"/>
      <c r="C853" s="273"/>
      <c r="D853" s="273"/>
      <c r="E853" s="273"/>
      <c r="F853" s="273"/>
      <c r="G853" s="273"/>
      <c r="H853" s="273"/>
      <c r="I853" s="273"/>
    </row>
    <row r="854">
      <c r="A854" s="273"/>
      <c r="B854" s="273"/>
      <c r="C854" s="273"/>
      <c r="D854" s="273"/>
      <c r="E854" s="273"/>
      <c r="F854" s="273"/>
      <c r="G854" s="273"/>
      <c r="H854" s="273"/>
      <c r="I854" s="273"/>
    </row>
    <row r="855">
      <c r="A855" s="273"/>
      <c r="B855" s="273"/>
      <c r="C855" s="273"/>
      <c r="D855" s="273"/>
      <c r="E855" s="273"/>
      <c r="F855" s="273"/>
      <c r="G855" s="273"/>
      <c r="H855" s="273"/>
      <c r="I855" s="273"/>
    </row>
    <row r="856">
      <c r="A856" s="273"/>
      <c r="B856" s="273"/>
      <c r="C856" s="273"/>
      <c r="D856" s="273"/>
      <c r="E856" s="273"/>
      <c r="F856" s="273"/>
      <c r="G856" s="273"/>
      <c r="H856" s="273"/>
      <c r="I856" s="273"/>
    </row>
    <row r="857">
      <c r="A857" s="273"/>
      <c r="B857" s="273"/>
      <c r="C857" s="273"/>
      <c r="D857" s="273"/>
      <c r="E857" s="273"/>
      <c r="F857" s="273"/>
      <c r="G857" s="273"/>
      <c r="H857" s="273"/>
      <c r="I857" s="273"/>
    </row>
    <row r="858">
      <c r="A858" s="273"/>
      <c r="B858" s="273"/>
      <c r="C858" s="273"/>
      <c r="D858" s="273"/>
      <c r="E858" s="273"/>
      <c r="F858" s="273"/>
      <c r="G858" s="273"/>
      <c r="H858" s="273"/>
      <c r="I858" s="273"/>
    </row>
    <row r="859">
      <c r="A859" s="273"/>
      <c r="B859" s="273"/>
      <c r="C859" s="273"/>
      <c r="D859" s="273"/>
      <c r="E859" s="273"/>
      <c r="F859" s="273"/>
      <c r="G859" s="273"/>
      <c r="H859" s="273"/>
      <c r="I859" s="273"/>
    </row>
    <row r="860">
      <c r="A860" s="273"/>
      <c r="B860" s="273"/>
      <c r="C860" s="273"/>
      <c r="D860" s="273"/>
      <c r="E860" s="273"/>
      <c r="F860" s="273"/>
      <c r="G860" s="273"/>
      <c r="H860" s="273"/>
      <c r="I860" s="273"/>
    </row>
    <row r="861">
      <c r="A861" s="273"/>
      <c r="B861" s="273"/>
      <c r="C861" s="273"/>
      <c r="D861" s="273"/>
      <c r="E861" s="273"/>
      <c r="F861" s="273"/>
      <c r="G861" s="273"/>
      <c r="H861" s="273"/>
      <c r="I861" s="273"/>
    </row>
    <row r="862">
      <c r="A862" s="273"/>
      <c r="B862" s="273"/>
      <c r="C862" s="273"/>
      <c r="D862" s="273"/>
      <c r="E862" s="273"/>
      <c r="F862" s="273"/>
      <c r="G862" s="273"/>
      <c r="H862" s="273"/>
      <c r="I862" s="273"/>
    </row>
    <row r="863">
      <c r="A863" s="273"/>
      <c r="B863" s="273"/>
      <c r="C863" s="273"/>
      <c r="D863" s="273"/>
      <c r="E863" s="273"/>
      <c r="F863" s="273"/>
      <c r="G863" s="273"/>
      <c r="H863" s="273"/>
      <c r="I863" s="273"/>
    </row>
    <row r="864">
      <c r="A864" s="273"/>
      <c r="B864" s="273"/>
      <c r="C864" s="273"/>
      <c r="D864" s="273"/>
      <c r="E864" s="273"/>
      <c r="F864" s="273"/>
      <c r="G864" s="273"/>
      <c r="H864" s="273"/>
      <c r="I864" s="273"/>
    </row>
    <row r="865">
      <c r="A865" s="273"/>
      <c r="B865" s="273"/>
      <c r="C865" s="273"/>
      <c r="D865" s="273"/>
      <c r="E865" s="273"/>
      <c r="F865" s="273"/>
      <c r="G865" s="273"/>
      <c r="H865" s="273"/>
      <c r="I865" s="273"/>
    </row>
    <row r="866">
      <c r="A866" s="273"/>
      <c r="B866" s="273"/>
      <c r="C866" s="273"/>
      <c r="D866" s="273"/>
      <c r="E866" s="273"/>
      <c r="F866" s="273"/>
      <c r="G866" s="273"/>
      <c r="H866" s="273"/>
      <c r="I866" s="273"/>
    </row>
    <row r="867">
      <c r="A867" s="273"/>
      <c r="B867" s="273"/>
      <c r="C867" s="273"/>
      <c r="D867" s="273"/>
      <c r="E867" s="273"/>
      <c r="F867" s="273"/>
      <c r="G867" s="273"/>
      <c r="H867" s="273"/>
      <c r="I867" s="273"/>
    </row>
    <row r="868">
      <c r="A868" s="273"/>
      <c r="B868" s="273"/>
      <c r="C868" s="273"/>
      <c r="D868" s="273"/>
      <c r="E868" s="273"/>
      <c r="F868" s="273"/>
      <c r="G868" s="273"/>
      <c r="H868" s="273"/>
      <c r="I868" s="273"/>
    </row>
    <row r="869">
      <c r="A869" s="273"/>
      <c r="B869" s="273"/>
      <c r="C869" s="273"/>
      <c r="D869" s="273"/>
      <c r="E869" s="273"/>
      <c r="F869" s="273"/>
      <c r="G869" s="273"/>
      <c r="H869" s="273"/>
      <c r="I869" s="273"/>
    </row>
    <row r="870">
      <c r="A870" s="273"/>
      <c r="B870" s="273"/>
      <c r="C870" s="273"/>
      <c r="D870" s="273"/>
      <c r="E870" s="273"/>
      <c r="F870" s="273"/>
      <c r="G870" s="273"/>
      <c r="H870" s="273"/>
      <c r="I870" s="273"/>
    </row>
    <row r="871">
      <c r="A871" s="273"/>
      <c r="B871" s="273"/>
      <c r="C871" s="273"/>
      <c r="D871" s="273"/>
      <c r="E871" s="273"/>
      <c r="F871" s="273"/>
      <c r="G871" s="273"/>
      <c r="H871" s="273"/>
      <c r="I871" s="273"/>
    </row>
    <row r="872">
      <c r="A872" s="273"/>
      <c r="B872" s="273"/>
      <c r="C872" s="273"/>
      <c r="D872" s="273"/>
      <c r="E872" s="273"/>
      <c r="F872" s="273"/>
      <c r="G872" s="273"/>
      <c r="H872" s="273"/>
      <c r="I872" s="273"/>
    </row>
    <row r="873">
      <c r="A873" s="273"/>
      <c r="B873" s="273"/>
      <c r="C873" s="273"/>
      <c r="D873" s="273"/>
      <c r="E873" s="273"/>
      <c r="F873" s="273"/>
      <c r="G873" s="273"/>
      <c r="H873" s="273"/>
      <c r="I873" s="273"/>
    </row>
    <row r="874">
      <c r="A874" s="273"/>
      <c r="B874" s="273"/>
      <c r="C874" s="273"/>
      <c r="D874" s="273"/>
      <c r="E874" s="273"/>
      <c r="F874" s="273"/>
      <c r="G874" s="273"/>
      <c r="H874" s="273"/>
      <c r="I874" s="273"/>
    </row>
    <row r="875">
      <c r="A875" s="273"/>
      <c r="B875" s="273"/>
      <c r="C875" s="273"/>
      <c r="D875" s="273"/>
      <c r="E875" s="273"/>
      <c r="F875" s="273"/>
      <c r="G875" s="273"/>
      <c r="H875" s="273"/>
      <c r="I875" s="273"/>
    </row>
    <row r="876">
      <c r="A876" s="273"/>
      <c r="B876" s="273"/>
      <c r="C876" s="273"/>
      <c r="D876" s="273"/>
      <c r="E876" s="273"/>
      <c r="F876" s="273"/>
      <c r="G876" s="273"/>
      <c r="H876" s="273"/>
      <c r="I876" s="273"/>
    </row>
    <row r="877">
      <c r="A877" s="273"/>
      <c r="B877" s="273"/>
      <c r="C877" s="273"/>
      <c r="D877" s="273"/>
      <c r="E877" s="273"/>
      <c r="F877" s="273"/>
      <c r="G877" s="273"/>
      <c r="H877" s="273"/>
      <c r="I877" s="273"/>
    </row>
    <row r="878">
      <c r="A878" s="273"/>
      <c r="B878" s="273"/>
      <c r="C878" s="273"/>
      <c r="D878" s="273"/>
      <c r="E878" s="273"/>
      <c r="F878" s="273"/>
      <c r="G878" s="273"/>
      <c r="H878" s="273"/>
      <c r="I878" s="273"/>
    </row>
    <row r="879">
      <c r="A879" s="273"/>
      <c r="B879" s="273"/>
      <c r="C879" s="273"/>
      <c r="D879" s="273"/>
      <c r="E879" s="273"/>
      <c r="F879" s="273"/>
      <c r="G879" s="273"/>
      <c r="H879" s="273"/>
      <c r="I879" s="273"/>
    </row>
    <row r="880">
      <c r="A880" s="273"/>
      <c r="B880" s="273"/>
      <c r="C880" s="273"/>
      <c r="D880" s="273"/>
      <c r="E880" s="273"/>
      <c r="F880" s="273"/>
      <c r="G880" s="273"/>
      <c r="H880" s="273"/>
      <c r="I880" s="273"/>
    </row>
    <row r="881">
      <c r="A881" s="273"/>
      <c r="B881" s="273"/>
      <c r="C881" s="273"/>
      <c r="D881" s="273"/>
      <c r="E881" s="273"/>
      <c r="F881" s="273"/>
      <c r="G881" s="273"/>
      <c r="H881" s="273"/>
      <c r="I881" s="273"/>
    </row>
    <row r="882">
      <c r="A882" s="273"/>
      <c r="B882" s="273"/>
      <c r="C882" s="273"/>
      <c r="D882" s="273"/>
      <c r="E882" s="273"/>
      <c r="F882" s="273"/>
      <c r="G882" s="273"/>
      <c r="H882" s="273"/>
      <c r="I882" s="273"/>
    </row>
    <row r="883">
      <c r="A883" s="273"/>
      <c r="B883" s="273"/>
      <c r="C883" s="273"/>
      <c r="D883" s="273"/>
      <c r="E883" s="273"/>
      <c r="F883" s="273"/>
      <c r="G883" s="273"/>
      <c r="H883" s="273"/>
      <c r="I883" s="273"/>
    </row>
    <row r="884">
      <c r="A884" s="273"/>
      <c r="B884" s="273"/>
      <c r="C884" s="273"/>
      <c r="D884" s="273"/>
      <c r="E884" s="273"/>
      <c r="F884" s="273"/>
      <c r="G884" s="273"/>
      <c r="H884" s="273"/>
      <c r="I884" s="273"/>
    </row>
    <row r="885">
      <c r="A885" s="273"/>
      <c r="B885" s="273"/>
      <c r="C885" s="273"/>
      <c r="D885" s="273"/>
      <c r="E885" s="273"/>
      <c r="F885" s="273"/>
      <c r="G885" s="273"/>
      <c r="H885" s="273"/>
      <c r="I885" s="273"/>
    </row>
    <row r="886">
      <c r="A886" s="273"/>
      <c r="B886" s="273"/>
      <c r="C886" s="273"/>
      <c r="D886" s="273"/>
      <c r="E886" s="273"/>
      <c r="F886" s="273"/>
      <c r="G886" s="273"/>
      <c r="H886" s="273"/>
      <c r="I886" s="273"/>
    </row>
    <row r="887">
      <c r="A887" s="273"/>
      <c r="B887" s="273"/>
      <c r="C887" s="273"/>
      <c r="D887" s="273"/>
      <c r="E887" s="273"/>
      <c r="F887" s="273"/>
      <c r="G887" s="273"/>
      <c r="H887" s="273"/>
      <c r="I887" s="273"/>
    </row>
    <row r="888">
      <c r="A888" s="273"/>
      <c r="B888" s="273"/>
      <c r="C888" s="273"/>
      <c r="D888" s="273"/>
      <c r="E888" s="273"/>
      <c r="F888" s="273"/>
      <c r="G888" s="273"/>
      <c r="H888" s="273"/>
      <c r="I888" s="273"/>
    </row>
    <row r="889">
      <c r="A889" s="273"/>
      <c r="B889" s="273"/>
      <c r="C889" s="273"/>
      <c r="D889" s="273"/>
      <c r="E889" s="273"/>
      <c r="F889" s="273"/>
      <c r="G889" s="273"/>
      <c r="H889" s="273"/>
      <c r="I889" s="273"/>
    </row>
    <row r="890">
      <c r="A890" s="273"/>
      <c r="B890" s="273"/>
      <c r="C890" s="273"/>
      <c r="D890" s="273"/>
      <c r="E890" s="273"/>
      <c r="F890" s="273"/>
      <c r="G890" s="273"/>
      <c r="H890" s="273"/>
      <c r="I890" s="273"/>
    </row>
    <row r="891">
      <c r="A891" s="273"/>
      <c r="B891" s="273"/>
      <c r="C891" s="273"/>
      <c r="D891" s="273"/>
      <c r="E891" s="273"/>
      <c r="F891" s="273"/>
      <c r="G891" s="273"/>
      <c r="H891" s="273"/>
      <c r="I891" s="273"/>
    </row>
    <row r="892">
      <c r="A892" s="273"/>
      <c r="B892" s="273"/>
      <c r="C892" s="273"/>
      <c r="D892" s="273"/>
      <c r="E892" s="273"/>
      <c r="F892" s="273"/>
      <c r="G892" s="273"/>
      <c r="H892" s="273"/>
      <c r="I892" s="273"/>
    </row>
    <row r="893">
      <c r="A893" s="273"/>
      <c r="B893" s="273"/>
      <c r="C893" s="273"/>
      <c r="D893" s="273"/>
      <c r="E893" s="273"/>
      <c r="F893" s="273"/>
      <c r="G893" s="273"/>
      <c r="H893" s="273"/>
      <c r="I893" s="273"/>
    </row>
    <row r="894">
      <c r="A894" s="273"/>
      <c r="B894" s="273"/>
      <c r="C894" s="273"/>
      <c r="D894" s="273"/>
      <c r="E894" s="273"/>
      <c r="F894" s="273"/>
      <c r="G894" s="273"/>
      <c r="H894" s="273"/>
      <c r="I894" s="273"/>
    </row>
    <row r="895">
      <c r="A895" s="273"/>
      <c r="B895" s="273"/>
      <c r="C895" s="273"/>
      <c r="D895" s="273"/>
      <c r="E895" s="273"/>
      <c r="F895" s="273"/>
      <c r="G895" s="273"/>
      <c r="H895" s="273"/>
      <c r="I895" s="273"/>
    </row>
    <row r="896">
      <c r="A896" s="273"/>
      <c r="B896" s="273"/>
      <c r="C896" s="273"/>
      <c r="D896" s="273"/>
      <c r="E896" s="273"/>
      <c r="F896" s="273"/>
      <c r="G896" s="273"/>
      <c r="H896" s="273"/>
      <c r="I896" s="273"/>
    </row>
    <row r="897">
      <c r="A897" s="273"/>
      <c r="B897" s="273"/>
      <c r="C897" s="273"/>
      <c r="D897" s="273"/>
      <c r="E897" s="273"/>
      <c r="F897" s="273"/>
      <c r="G897" s="273"/>
      <c r="H897" s="273"/>
      <c r="I897" s="273"/>
    </row>
    <row r="898">
      <c r="A898" s="273"/>
      <c r="B898" s="273"/>
      <c r="C898" s="273"/>
      <c r="D898" s="273"/>
      <c r="E898" s="273"/>
      <c r="F898" s="273"/>
      <c r="G898" s="273"/>
      <c r="H898" s="273"/>
      <c r="I898" s="273"/>
    </row>
    <row r="899">
      <c r="A899" s="273"/>
      <c r="B899" s="273"/>
      <c r="C899" s="273"/>
      <c r="D899" s="273"/>
      <c r="E899" s="273"/>
      <c r="F899" s="273"/>
      <c r="G899" s="273"/>
      <c r="H899" s="273"/>
      <c r="I899" s="273"/>
    </row>
    <row r="900">
      <c r="A900" s="273"/>
      <c r="B900" s="273"/>
      <c r="C900" s="273"/>
      <c r="D900" s="273"/>
      <c r="E900" s="273"/>
      <c r="F900" s="273"/>
      <c r="G900" s="273"/>
      <c r="H900" s="273"/>
      <c r="I900" s="273"/>
    </row>
    <row r="901">
      <c r="A901" s="273"/>
      <c r="B901" s="273"/>
      <c r="C901" s="273"/>
      <c r="D901" s="273"/>
      <c r="E901" s="273"/>
      <c r="F901" s="273"/>
      <c r="G901" s="273"/>
      <c r="H901" s="273"/>
      <c r="I901" s="273"/>
    </row>
    <row r="902">
      <c r="A902" s="273"/>
      <c r="B902" s="273"/>
      <c r="C902" s="273"/>
      <c r="D902" s="273"/>
      <c r="E902" s="273"/>
      <c r="F902" s="273"/>
      <c r="G902" s="273"/>
      <c r="H902" s="273"/>
      <c r="I902" s="273"/>
    </row>
    <row r="903">
      <c r="A903" s="273"/>
      <c r="B903" s="273"/>
      <c r="C903" s="273"/>
      <c r="D903" s="273"/>
      <c r="E903" s="273"/>
      <c r="F903" s="273"/>
      <c r="G903" s="273"/>
      <c r="H903" s="273"/>
      <c r="I903" s="273"/>
    </row>
    <row r="904">
      <c r="A904" s="273"/>
      <c r="B904" s="273"/>
      <c r="C904" s="273"/>
      <c r="D904" s="273"/>
      <c r="E904" s="273"/>
      <c r="F904" s="273"/>
      <c r="G904" s="273"/>
      <c r="H904" s="273"/>
      <c r="I904" s="273"/>
    </row>
    <row r="905">
      <c r="A905" s="273"/>
      <c r="B905" s="273"/>
      <c r="C905" s="273"/>
      <c r="D905" s="273"/>
      <c r="E905" s="273"/>
      <c r="F905" s="273"/>
      <c r="G905" s="273"/>
      <c r="H905" s="273"/>
      <c r="I905" s="273"/>
    </row>
    <row r="906">
      <c r="A906" s="273"/>
      <c r="B906" s="273"/>
      <c r="C906" s="273"/>
      <c r="D906" s="273"/>
      <c r="E906" s="273"/>
      <c r="F906" s="273"/>
      <c r="G906" s="273"/>
      <c r="H906" s="273"/>
      <c r="I906" s="273"/>
    </row>
    <row r="907">
      <c r="A907" s="273"/>
      <c r="B907" s="273"/>
      <c r="C907" s="273"/>
      <c r="D907" s="273"/>
      <c r="E907" s="273"/>
      <c r="F907" s="273"/>
      <c r="G907" s="273"/>
      <c r="H907" s="273"/>
      <c r="I907" s="273"/>
    </row>
    <row r="908">
      <c r="A908" s="273"/>
      <c r="B908" s="273"/>
      <c r="C908" s="273"/>
      <c r="D908" s="273"/>
      <c r="E908" s="273"/>
      <c r="F908" s="273"/>
      <c r="G908" s="273"/>
      <c r="H908" s="273"/>
      <c r="I908" s="273"/>
    </row>
    <row r="909">
      <c r="A909" s="273"/>
      <c r="B909" s="273"/>
      <c r="C909" s="273"/>
      <c r="D909" s="273"/>
      <c r="E909" s="273"/>
      <c r="F909" s="273"/>
      <c r="G909" s="273"/>
      <c r="H909" s="273"/>
      <c r="I909" s="273"/>
    </row>
    <row r="910">
      <c r="A910" s="273"/>
      <c r="B910" s="273"/>
      <c r="C910" s="273"/>
      <c r="D910" s="273"/>
      <c r="E910" s="273"/>
      <c r="F910" s="273"/>
      <c r="G910" s="273"/>
      <c r="H910" s="273"/>
      <c r="I910" s="273"/>
    </row>
    <row r="911">
      <c r="A911" s="273"/>
      <c r="B911" s="273"/>
      <c r="C911" s="273"/>
      <c r="D911" s="273"/>
      <c r="E911" s="273"/>
      <c r="F911" s="273"/>
      <c r="G911" s="273"/>
      <c r="H911" s="273"/>
      <c r="I911" s="273"/>
    </row>
    <row r="912">
      <c r="A912" s="273"/>
      <c r="B912" s="273"/>
      <c r="C912" s="273"/>
      <c r="D912" s="273"/>
      <c r="E912" s="273"/>
      <c r="F912" s="273"/>
      <c r="G912" s="273"/>
      <c r="H912" s="273"/>
      <c r="I912" s="273"/>
    </row>
    <row r="913">
      <c r="A913" s="273"/>
      <c r="B913" s="273"/>
      <c r="C913" s="273"/>
      <c r="D913" s="273"/>
      <c r="E913" s="273"/>
      <c r="F913" s="273"/>
      <c r="G913" s="273"/>
      <c r="H913" s="273"/>
      <c r="I913" s="273"/>
    </row>
    <row r="914">
      <c r="A914" s="273"/>
      <c r="B914" s="273"/>
      <c r="C914" s="273"/>
      <c r="D914" s="273"/>
      <c r="E914" s="273"/>
      <c r="F914" s="273"/>
      <c r="G914" s="273"/>
      <c r="H914" s="273"/>
      <c r="I914" s="273"/>
    </row>
    <row r="915">
      <c r="A915" s="273"/>
      <c r="B915" s="273"/>
      <c r="C915" s="273"/>
      <c r="D915" s="273"/>
      <c r="E915" s="273"/>
      <c r="F915" s="273"/>
      <c r="G915" s="273"/>
      <c r="H915" s="273"/>
      <c r="I915" s="273"/>
    </row>
    <row r="916">
      <c r="A916" s="273"/>
      <c r="B916" s="273"/>
      <c r="C916" s="273"/>
      <c r="D916" s="273"/>
      <c r="E916" s="273"/>
      <c r="F916" s="273"/>
      <c r="G916" s="273"/>
      <c r="H916" s="273"/>
      <c r="I916" s="273"/>
    </row>
    <row r="917">
      <c r="A917" s="273"/>
      <c r="B917" s="273"/>
      <c r="C917" s="273"/>
      <c r="D917" s="273"/>
      <c r="E917" s="273"/>
      <c r="F917" s="273"/>
      <c r="G917" s="273"/>
      <c r="H917" s="273"/>
      <c r="I917" s="273"/>
    </row>
    <row r="918">
      <c r="A918" s="273"/>
      <c r="B918" s="273"/>
      <c r="C918" s="273"/>
      <c r="D918" s="273"/>
      <c r="E918" s="273"/>
      <c r="F918" s="273"/>
      <c r="G918" s="273"/>
      <c r="H918" s="273"/>
      <c r="I918" s="273"/>
    </row>
    <row r="919">
      <c r="A919" s="273"/>
      <c r="B919" s="273"/>
      <c r="C919" s="273"/>
      <c r="D919" s="273"/>
      <c r="E919" s="273"/>
      <c r="F919" s="273"/>
      <c r="G919" s="273"/>
      <c r="H919" s="273"/>
      <c r="I919" s="273"/>
    </row>
    <row r="920">
      <c r="A920" s="273"/>
      <c r="B920" s="273"/>
      <c r="C920" s="273"/>
      <c r="D920" s="273"/>
      <c r="E920" s="273"/>
      <c r="F920" s="273"/>
      <c r="G920" s="273"/>
      <c r="H920" s="273"/>
      <c r="I920" s="273"/>
    </row>
    <row r="921">
      <c r="A921" s="273"/>
      <c r="B921" s="273"/>
      <c r="C921" s="273"/>
      <c r="D921" s="273"/>
      <c r="E921" s="273"/>
      <c r="F921" s="273"/>
      <c r="G921" s="273"/>
      <c r="H921" s="273"/>
      <c r="I921" s="273"/>
    </row>
    <row r="922">
      <c r="A922" s="273"/>
      <c r="B922" s="273"/>
      <c r="C922" s="273"/>
      <c r="D922" s="273"/>
      <c r="E922" s="273"/>
      <c r="F922" s="273"/>
      <c r="G922" s="273"/>
      <c r="H922" s="273"/>
      <c r="I922" s="273"/>
    </row>
    <row r="923">
      <c r="A923" s="273"/>
      <c r="B923" s="273"/>
      <c r="C923" s="273"/>
      <c r="D923" s="273"/>
      <c r="E923" s="273"/>
      <c r="F923" s="273"/>
      <c r="G923" s="273"/>
      <c r="H923" s="273"/>
      <c r="I923" s="273"/>
    </row>
    <row r="924">
      <c r="A924" s="273"/>
      <c r="B924" s="273"/>
      <c r="C924" s="273"/>
      <c r="D924" s="273"/>
      <c r="E924" s="273"/>
      <c r="F924" s="273"/>
      <c r="G924" s="273"/>
      <c r="H924" s="273"/>
      <c r="I924" s="273"/>
    </row>
    <row r="925">
      <c r="A925" s="273"/>
      <c r="B925" s="273"/>
      <c r="C925" s="273"/>
      <c r="D925" s="273"/>
      <c r="E925" s="273"/>
      <c r="F925" s="273"/>
      <c r="G925" s="273"/>
      <c r="H925" s="273"/>
      <c r="I925" s="273"/>
    </row>
    <row r="926">
      <c r="A926" s="273"/>
      <c r="B926" s="273"/>
      <c r="C926" s="273"/>
      <c r="D926" s="273"/>
      <c r="E926" s="273"/>
      <c r="F926" s="273"/>
      <c r="G926" s="273"/>
      <c r="H926" s="273"/>
      <c r="I926" s="273"/>
    </row>
    <row r="927">
      <c r="A927" s="273"/>
      <c r="B927" s="273"/>
      <c r="C927" s="273"/>
      <c r="D927" s="273"/>
      <c r="E927" s="273"/>
      <c r="F927" s="273"/>
      <c r="G927" s="273"/>
      <c r="H927" s="273"/>
      <c r="I927" s="273"/>
    </row>
    <row r="928">
      <c r="A928" s="273"/>
      <c r="B928" s="273"/>
      <c r="C928" s="273"/>
      <c r="D928" s="273"/>
      <c r="E928" s="273"/>
      <c r="F928" s="273"/>
      <c r="G928" s="273"/>
      <c r="H928" s="273"/>
      <c r="I928" s="273"/>
    </row>
    <row r="929">
      <c r="A929" s="273"/>
      <c r="B929" s="273"/>
      <c r="C929" s="273"/>
      <c r="D929" s="273"/>
      <c r="E929" s="273"/>
      <c r="F929" s="273"/>
      <c r="G929" s="273"/>
      <c r="H929" s="273"/>
      <c r="I929" s="273"/>
    </row>
    <row r="930">
      <c r="A930" s="273"/>
      <c r="B930" s="273"/>
      <c r="C930" s="273"/>
      <c r="D930" s="273"/>
      <c r="E930" s="273"/>
      <c r="F930" s="273"/>
      <c r="G930" s="273"/>
      <c r="H930" s="273"/>
      <c r="I930" s="273"/>
    </row>
    <row r="931">
      <c r="A931" s="273"/>
      <c r="B931" s="273"/>
      <c r="C931" s="273"/>
      <c r="D931" s="273"/>
      <c r="E931" s="273"/>
      <c r="F931" s="273"/>
      <c r="G931" s="273"/>
      <c r="H931" s="273"/>
      <c r="I931" s="273"/>
    </row>
    <row r="932">
      <c r="A932" s="273"/>
      <c r="B932" s="273"/>
      <c r="C932" s="273"/>
      <c r="D932" s="273"/>
      <c r="E932" s="273"/>
      <c r="F932" s="273"/>
      <c r="G932" s="273"/>
      <c r="H932" s="273"/>
      <c r="I932" s="273"/>
    </row>
    <row r="933">
      <c r="A933" s="273"/>
      <c r="B933" s="273"/>
      <c r="C933" s="273"/>
      <c r="D933" s="273"/>
      <c r="E933" s="273"/>
      <c r="F933" s="273"/>
      <c r="G933" s="273"/>
      <c r="H933" s="273"/>
      <c r="I933" s="273"/>
    </row>
    <row r="934">
      <c r="A934" s="273"/>
      <c r="B934" s="273"/>
      <c r="C934" s="273"/>
      <c r="D934" s="273"/>
      <c r="E934" s="273"/>
      <c r="F934" s="273"/>
      <c r="G934" s="273"/>
      <c r="H934" s="273"/>
      <c r="I934" s="273"/>
    </row>
    <row r="935">
      <c r="A935" s="273"/>
      <c r="B935" s="273"/>
      <c r="C935" s="273"/>
      <c r="D935" s="273"/>
      <c r="E935" s="273"/>
      <c r="F935" s="273"/>
      <c r="G935" s="273"/>
      <c r="H935" s="273"/>
      <c r="I935" s="273"/>
    </row>
    <row r="936">
      <c r="A936" s="273"/>
      <c r="B936" s="273"/>
      <c r="C936" s="273"/>
      <c r="D936" s="273"/>
      <c r="E936" s="273"/>
      <c r="F936" s="273"/>
      <c r="G936" s="273"/>
      <c r="H936" s="273"/>
      <c r="I936" s="273"/>
    </row>
    <row r="937">
      <c r="A937" s="273"/>
      <c r="B937" s="273"/>
      <c r="C937" s="273"/>
      <c r="D937" s="273"/>
      <c r="E937" s="273"/>
      <c r="F937" s="273"/>
      <c r="G937" s="273"/>
      <c r="H937" s="273"/>
      <c r="I937" s="273"/>
    </row>
    <row r="938">
      <c r="A938" s="273"/>
      <c r="B938" s="273"/>
      <c r="C938" s="273"/>
      <c r="D938" s="273"/>
      <c r="E938" s="273"/>
      <c r="F938" s="273"/>
      <c r="G938" s="273"/>
      <c r="H938" s="273"/>
      <c r="I938" s="273"/>
    </row>
    <row r="939">
      <c r="A939" s="273"/>
      <c r="B939" s="273"/>
      <c r="C939" s="273"/>
      <c r="D939" s="273"/>
      <c r="E939" s="273"/>
      <c r="F939" s="273"/>
      <c r="G939" s="273"/>
      <c r="H939" s="273"/>
      <c r="I939" s="273"/>
    </row>
    <row r="940">
      <c r="A940" s="273"/>
      <c r="B940" s="273"/>
      <c r="C940" s="273"/>
      <c r="D940" s="273"/>
      <c r="E940" s="273"/>
      <c r="F940" s="273"/>
      <c r="G940" s="273"/>
      <c r="H940" s="273"/>
      <c r="I940" s="273"/>
    </row>
    <row r="941">
      <c r="A941" s="273"/>
      <c r="B941" s="273"/>
      <c r="C941" s="273"/>
      <c r="D941" s="273"/>
      <c r="E941" s="273"/>
      <c r="F941" s="273"/>
      <c r="G941" s="273"/>
      <c r="H941" s="273"/>
      <c r="I941" s="273"/>
    </row>
    <row r="942">
      <c r="A942" s="273"/>
      <c r="B942" s="273"/>
      <c r="C942" s="273"/>
      <c r="D942" s="273"/>
      <c r="E942" s="273"/>
      <c r="F942" s="273"/>
      <c r="G942" s="273"/>
      <c r="H942" s="273"/>
      <c r="I942" s="273"/>
    </row>
    <row r="943">
      <c r="A943" s="273"/>
      <c r="B943" s="273"/>
      <c r="C943" s="273"/>
      <c r="D943" s="273"/>
      <c r="E943" s="273"/>
      <c r="F943" s="273"/>
      <c r="G943" s="273"/>
      <c r="H943" s="273"/>
      <c r="I943" s="273"/>
    </row>
    <row r="944">
      <c r="A944" s="273"/>
      <c r="B944" s="273"/>
      <c r="C944" s="273"/>
      <c r="D944" s="273"/>
      <c r="E944" s="273"/>
      <c r="F944" s="273"/>
      <c r="G944" s="273"/>
      <c r="H944" s="273"/>
      <c r="I944" s="273"/>
    </row>
    <row r="945">
      <c r="A945" s="273"/>
      <c r="B945" s="273"/>
      <c r="C945" s="273"/>
      <c r="D945" s="273"/>
      <c r="E945" s="273"/>
      <c r="F945" s="273"/>
      <c r="G945" s="273"/>
      <c r="H945" s="273"/>
      <c r="I945" s="273"/>
    </row>
    <row r="946">
      <c r="A946" s="273"/>
      <c r="B946" s="273"/>
      <c r="C946" s="273"/>
      <c r="D946" s="273"/>
      <c r="E946" s="273"/>
      <c r="F946" s="273"/>
      <c r="G946" s="273"/>
      <c r="H946" s="273"/>
      <c r="I946" s="273"/>
    </row>
    <row r="947">
      <c r="A947" s="273"/>
      <c r="B947" s="273"/>
      <c r="C947" s="273"/>
      <c r="D947" s="273"/>
      <c r="E947" s="273"/>
      <c r="F947" s="273"/>
      <c r="G947" s="273"/>
      <c r="H947" s="273"/>
      <c r="I947" s="273"/>
    </row>
    <row r="948">
      <c r="A948" s="273"/>
      <c r="B948" s="273"/>
      <c r="C948" s="273"/>
      <c r="D948" s="273"/>
      <c r="E948" s="273"/>
      <c r="F948" s="273"/>
      <c r="G948" s="273"/>
      <c r="H948" s="273"/>
      <c r="I948" s="273"/>
    </row>
    <row r="949">
      <c r="A949" s="273"/>
      <c r="B949" s="273"/>
      <c r="C949" s="273"/>
      <c r="D949" s="273"/>
      <c r="E949" s="273"/>
      <c r="F949" s="273"/>
      <c r="G949" s="273"/>
      <c r="H949" s="273"/>
      <c r="I949" s="273"/>
    </row>
    <row r="950">
      <c r="A950" s="273"/>
      <c r="B950" s="273"/>
      <c r="C950" s="273"/>
      <c r="D950" s="273"/>
      <c r="E950" s="273"/>
      <c r="F950" s="273"/>
      <c r="G950" s="273"/>
      <c r="H950" s="273"/>
      <c r="I950" s="273"/>
    </row>
    <row r="951">
      <c r="A951" s="273"/>
      <c r="B951" s="273"/>
      <c r="C951" s="273"/>
      <c r="D951" s="273"/>
      <c r="E951" s="273"/>
      <c r="F951" s="273"/>
      <c r="G951" s="273"/>
      <c r="H951" s="273"/>
      <c r="I951" s="273"/>
    </row>
    <row r="952">
      <c r="A952" s="273"/>
      <c r="B952" s="273"/>
      <c r="C952" s="273"/>
      <c r="D952" s="273"/>
      <c r="E952" s="273"/>
      <c r="F952" s="273"/>
      <c r="G952" s="273"/>
      <c r="H952" s="273"/>
      <c r="I952" s="273"/>
    </row>
    <row r="953">
      <c r="A953" s="273"/>
      <c r="B953" s="273"/>
      <c r="C953" s="273"/>
      <c r="D953" s="273"/>
      <c r="E953" s="273"/>
      <c r="F953" s="273"/>
      <c r="G953" s="273"/>
      <c r="H953" s="273"/>
      <c r="I953" s="273"/>
    </row>
    <row r="954">
      <c r="A954" s="273"/>
      <c r="B954" s="273"/>
      <c r="C954" s="273"/>
      <c r="D954" s="273"/>
      <c r="E954" s="273"/>
      <c r="F954" s="273"/>
      <c r="G954" s="273"/>
      <c r="H954" s="273"/>
      <c r="I954" s="273"/>
    </row>
    <row r="955">
      <c r="A955" s="273"/>
      <c r="B955" s="273"/>
      <c r="C955" s="273"/>
      <c r="D955" s="273"/>
      <c r="E955" s="273"/>
      <c r="F955" s="273"/>
      <c r="G955" s="273"/>
      <c r="H955" s="273"/>
      <c r="I955" s="273"/>
    </row>
    <row r="956">
      <c r="A956" s="273"/>
      <c r="B956" s="273"/>
      <c r="C956" s="273"/>
      <c r="D956" s="273"/>
      <c r="E956" s="273"/>
      <c r="F956" s="273"/>
      <c r="G956" s="273"/>
      <c r="H956" s="273"/>
      <c r="I956" s="273"/>
    </row>
    <row r="957">
      <c r="A957" s="273"/>
      <c r="B957" s="273"/>
      <c r="C957" s="273"/>
      <c r="D957" s="273"/>
      <c r="E957" s="273"/>
      <c r="F957" s="273"/>
      <c r="G957" s="273"/>
      <c r="H957" s="273"/>
      <c r="I957" s="273"/>
    </row>
    <row r="958">
      <c r="A958" s="273"/>
      <c r="B958" s="273"/>
      <c r="C958" s="273"/>
      <c r="D958" s="273"/>
      <c r="E958" s="273"/>
      <c r="F958" s="273"/>
      <c r="G958" s="273"/>
      <c r="H958" s="273"/>
      <c r="I958" s="273"/>
    </row>
    <row r="959">
      <c r="A959" s="273"/>
      <c r="B959" s="273"/>
      <c r="C959" s="273"/>
      <c r="D959" s="273"/>
      <c r="E959" s="273"/>
      <c r="F959" s="273"/>
      <c r="G959" s="273"/>
      <c r="H959" s="273"/>
      <c r="I959" s="273"/>
    </row>
    <row r="960">
      <c r="A960" s="273"/>
      <c r="B960" s="273"/>
      <c r="C960" s="273"/>
      <c r="D960" s="273"/>
      <c r="E960" s="273"/>
      <c r="F960" s="273"/>
      <c r="G960" s="273"/>
      <c r="H960" s="273"/>
      <c r="I960" s="273"/>
    </row>
    <row r="961">
      <c r="A961" s="273"/>
      <c r="B961" s="273"/>
      <c r="C961" s="273"/>
      <c r="D961" s="273"/>
      <c r="E961" s="273"/>
      <c r="F961" s="273"/>
      <c r="G961" s="273"/>
      <c r="H961" s="273"/>
      <c r="I961" s="273"/>
    </row>
    <row r="962">
      <c r="A962" s="273"/>
      <c r="B962" s="273"/>
      <c r="C962" s="273"/>
      <c r="D962" s="273"/>
      <c r="E962" s="273"/>
      <c r="F962" s="273"/>
      <c r="G962" s="273"/>
      <c r="H962" s="273"/>
      <c r="I962" s="273"/>
    </row>
    <row r="963">
      <c r="A963" s="273"/>
      <c r="B963" s="273"/>
      <c r="C963" s="273"/>
      <c r="D963" s="273"/>
      <c r="E963" s="273"/>
      <c r="F963" s="273"/>
      <c r="G963" s="273"/>
      <c r="H963" s="273"/>
      <c r="I963" s="273"/>
    </row>
    <row r="964">
      <c r="A964" s="273"/>
      <c r="B964" s="273"/>
      <c r="C964" s="273"/>
      <c r="D964" s="273"/>
      <c r="E964" s="273"/>
      <c r="F964" s="273"/>
      <c r="G964" s="273"/>
      <c r="H964" s="273"/>
      <c r="I964" s="273"/>
    </row>
    <row r="965">
      <c r="A965" s="273"/>
      <c r="B965" s="273"/>
      <c r="C965" s="273"/>
      <c r="D965" s="273"/>
      <c r="E965" s="273"/>
      <c r="F965" s="273"/>
      <c r="G965" s="273"/>
      <c r="H965" s="273"/>
      <c r="I965" s="273"/>
    </row>
    <row r="966">
      <c r="A966" s="273"/>
      <c r="B966" s="273"/>
      <c r="C966" s="273"/>
      <c r="D966" s="273"/>
      <c r="E966" s="273"/>
      <c r="F966" s="273"/>
      <c r="G966" s="273"/>
      <c r="H966" s="273"/>
      <c r="I966" s="273"/>
    </row>
    <row r="967">
      <c r="A967" s="273"/>
      <c r="B967" s="273"/>
      <c r="C967" s="273"/>
      <c r="D967" s="273"/>
      <c r="E967" s="273"/>
      <c r="F967" s="273"/>
      <c r="G967" s="273"/>
      <c r="H967" s="273"/>
      <c r="I967" s="273"/>
    </row>
    <row r="968">
      <c r="A968" s="273"/>
      <c r="B968" s="273"/>
      <c r="C968" s="273"/>
      <c r="D968" s="273"/>
      <c r="E968" s="273"/>
      <c r="F968" s="273"/>
      <c r="G968" s="273"/>
      <c r="H968" s="273"/>
      <c r="I968" s="273"/>
    </row>
    <row r="969">
      <c r="A969" s="273"/>
      <c r="B969" s="273"/>
      <c r="C969" s="273"/>
      <c r="D969" s="273"/>
      <c r="E969" s="273"/>
      <c r="F969" s="273"/>
      <c r="G969" s="273"/>
      <c r="H969" s="273"/>
      <c r="I969" s="273"/>
    </row>
    <row r="970">
      <c r="A970" s="273"/>
      <c r="B970" s="273"/>
      <c r="C970" s="273"/>
      <c r="D970" s="273"/>
      <c r="E970" s="273"/>
      <c r="F970" s="273"/>
      <c r="G970" s="273"/>
      <c r="H970" s="273"/>
      <c r="I970" s="273"/>
    </row>
    <row r="971">
      <c r="A971" s="273"/>
      <c r="B971" s="273"/>
      <c r="C971" s="273"/>
      <c r="D971" s="273"/>
      <c r="E971" s="273"/>
      <c r="F971" s="273"/>
      <c r="G971" s="273"/>
      <c r="H971" s="273"/>
      <c r="I971" s="273"/>
    </row>
    <row r="972">
      <c r="A972" s="273"/>
      <c r="B972" s="273"/>
      <c r="C972" s="273"/>
      <c r="D972" s="273"/>
      <c r="E972" s="273"/>
      <c r="F972" s="273"/>
      <c r="G972" s="273"/>
      <c r="H972" s="273"/>
      <c r="I972" s="273"/>
    </row>
    <row r="973">
      <c r="A973" s="273"/>
      <c r="B973" s="273"/>
      <c r="C973" s="273"/>
      <c r="D973" s="273"/>
      <c r="E973" s="273"/>
      <c r="F973" s="273"/>
      <c r="G973" s="273"/>
      <c r="H973" s="273"/>
      <c r="I973" s="273"/>
    </row>
    <row r="974">
      <c r="A974" s="273"/>
      <c r="B974" s="273"/>
      <c r="C974" s="273"/>
      <c r="D974" s="273"/>
      <c r="E974" s="273"/>
      <c r="F974" s="273"/>
      <c r="G974" s="273"/>
      <c r="H974" s="273"/>
      <c r="I974" s="273"/>
    </row>
    <row r="975">
      <c r="A975" s="273"/>
      <c r="B975" s="273"/>
      <c r="C975" s="273"/>
      <c r="D975" s="273"/>
      <c r="E975" s="273"/>
      <c r="F975" s="273"/>
      <c r="G975" s="273"/>
      <c r="H975" s="273"/>
      <c r="I975" s="273"/>
    </row>
    <row r="976">
      <c r="A976" s="273"/>
      <c r="B976" s="273"/>
      <c r="C976" s="273"/>
      <c r="D976" s="273"/>
      <c r="E976" s="273"/>
      <c r="F976" s="273"/>
      <c r="G976" s="273"/>
      <c r="H976" s="273"/>
      <c r="I976" s="273"/>
    </row>
    <row r="977">
      <c r="A977" s="273"/>
      <c r="B977" s="273"/>
      <c r="C977" s="273"/>
      <c r="D977" s="273"/>
      <c r="E977" s="273"/>
      <c r="F977" s="273"/>
      <c r="G977" s="273"/>
      <c r="H977" s="273"/>
      <c r="I977" s="273"/>
    </row>
    <row r="978">
      <c r="A978" s="273"/>
      <c r="B978" s="273"/>
      <c r="C978" s="273"/>
      <c r="D978" s="273"/>
      <c r="E978" s="273"/>
      <c r="F978" s="273"/>
      <c r="G978" s="273"/>
      <c r="H978" s="273"/>
      <c r="I978" s="273"/>
    </row>
    <row r="979">
      <c r="A979" s="273"/>
      <c r="B979" s="273"/>
      <c r="C979" s="273"/>
      <c r="D979" s="273"/>
      <c r="E979" s="273"/>
      <c r="F979" s="273"/>
      <c r="G979" s="273"/>
      <c r="H979" s="273"/>
      <c r="I979" s="273"/>
    </row>
    <row r="980">
      <c r="A980" s="273"/>
      <c r="B980" s="273"/>
      <c r="C980" s="273"/>
      <c r="D980" s="273"/>
      <c r="E980" s="273"/>
      <c r="F980" s="273"/>
      <c r="G980" s="273"/>
      <c r="H980" s="273"/>
      <c r="I980" s="273"/>
    </row>
    <row r="981">
      <c r="A981" s="273"/>
      <c r="B981" s="273"/>
      <c r="C981" s="273"/>
      <c r="D981" s="273"/>
      <c r="E981" s="273"/>
      <c r="F981" s="273"/>
      <c r="G981" s="273"/>
      <c r="H981" s="273"/>
      <c r="I981" s="273"/>
    </row>
    <row r="982">
      <c r="A982" s="273"/>
      <c r="B982" s="273"/>
      <c r="C982" s="273"/>
      <c r="D982" s="273"/>
      <c r="E982" s="273"/>
      <c r="F982" s="273"/>
      <c r="G982" s="273"/>
      <c r="H982" s="273"/>
      <c r="I982" s="273"/>
    </row>
    <row r="983">
      <c r="A983" s="273"/>
      <c r="B983" s="273"/>
      <c r="C983" s="273"/>
      <c r="D983" s="273"/>
      <c r="E983" s="273"/>
      <c r="F983" s="273"/>
      <c r="G983" s="273"/>
      <c r="H983" s="273"/>
      <c r="I983" s="273"/>
    </row>
    <row r="984">
      <c r="A984" s="273"/>
      <c r="B984" s="273"/>
      <c r="C984" s="273"/>
      <c r="D984" s="273"/>
      <c r="E984" s="273"/>
      <c r="F984" s="273"/>
      <c r="G984" s="273"/>
      <c r="H984" s="273"/>
      <c r="I984" s="273"/>
    </row>
    <row r="985">
      <c r="A985" s="273"/>
      <c r="B985" s="273"/>
      <c r="C985" s="273"/>
      <c r="D985" s="273"/>
      <c r="E985" s="273"/>
      <c r="F985" s="273"/>
      <c r="G985" s="273"/>
      <c r="H985" s="273"/>
      <c r="I985" s="273"/>
    </row>
    <row r="986">
      <c r="A986" s="273"/>
      <c r="B986" s="273"/>
      <c r="C986" s="273"/>
      <c r="D986" s="273"/>
      <c r="E986" s="273"/>
      <c r="F986" s="273"/>
      <c r="G986" s="273"/>
      <c r="H986" s="273"/>
      <c r="I986" s="273"/>
    </row>
    <row r="987">
      <c r="A987" s="273"/>
      <c r="B987" s="273"/>
      <c r="C987" s="273"/>
      <c r="D987" s="273"/>
      <c r="E987" s="273"/>
      <c r="F987" s="273"/>
      <c r="G987" s="273"/>
      <c r="H987" s="273"/>
      <c r="I987" s="273"/>
    </row>
    <row r="988">
      <c r="A988" s="273"/>
      <c r="B988" s="273"/>
      <c r="C988" s="273"/>
      <c r="D988" s="273"/>
      <c r="E988" s="273"/>
      <c r="F988" s="273"/>
      <c r="G988" s="273"/>
      <c r="H988" s="273"/>
      <c r="I988" s="273"/>
    </row>
    <row r="989">
      <c r="A989" s="273"/>
      <c r="B989" s="273"/>
      <c r="C989" s="273"/>
      <c r="D989" s="273"/>
      <c r="E989" s="273"/>
      <c r="F989" s="273"/>
      <c r="G989" s="273"/>
      <c r="H989" s="273"/>
      <c r="I989" s="273"/>
    </row>
    <row r="990">
      <c r="A990" s="273"/>
      <c r="B990" s="273"/>
      <c r="C990" s="273"/>
      <c r="D990" s="273"/>
      <c r="E990" s="273"/>
      <c r="F990" s="273"/>
      <c r="G990" s="273"/>
      <c r="H990" s="273"/>
      <c r="I990" s="273"/>
    </row>
    <row r="991">
      <c r="A991" s="273"/>
      <c r="B991" s="273"/>
      <c r="C991" s="273"/>
      <c r="D991" s="273"/>
      <c r="E991" s="273"/>
      <c r="F991" s="273"/>
      <c r="G991" s="273"/>
      <c r="H991" s="273"/>
      <c r="I991" s="273"/>
    </row>
    <row r="992">
      <c r="A992" s="273"/>
      <c r="B992" s="273"/>
      <c r="C992" s="273"/>
      <c r="D992" s="273"/>
      <c r="E992" s="273"/>
      <c r="F992" s="273"/>
      <c r="G992" s="273"/>
      <c r="H992" s="273"/>
      <c r="I992" s="273"/>
    </row>
    <row r="993">
      <c r="A993" s="273"/>
      <c r="B993" s="273"/>
      <c r="C993" s="273"/>
      <c r="D993" s="273"/>
      <c r="E993" s="273"/>
      <c r="F993" s="273"/>
      <c r="G993" s="273"/>
      <c r="H993" s="273"/>
      <c r="I993" s="273"/>
    </row>
    <row r="994">
      <c r="A994" s="273"/>
      <c r="B994" s="273"/>
      <c r="C994" s="273"/>
      <c r="D994" s="273"/>
      <c r="E994" s="273"/>
      <c r="F994" s="273"/>
      <c r="G994" s="273"/>
      <c r="H994" s="273"/>
      <c r="I994" s="273"/>
    </row>
    <row r="995">
      <c r="A995" s="273"/>
      <c r="B995" s="273"/>
      <c r="C995" s="273"/>
      <c r="D995" s="273"/>
      <c r="E995" s="273"/>
      <c r="F995" s="273"/>
      <c r="G995" s="273"/>
      <c r="H995" s="273"/>
      <c r="I995" s="273"/>
    </row>
    <row r="996">
      <c r="A996" s="273"/>
      <c r="B996" s="273"/>
      <c r="C996" s="273"/>
      <c r="D996" s="273"/>
      <c r="E996" s="273"/>
      <c r="F996" s="273"/>
      <c r="G996" s="273"/>
      <c r="H996" s="273"/>
      <c r="I996" s="273"/>
    </row>
    <row r="997">
      <c r="A997" s="273"/>
      <c r="B997" s="273"/>
      <c r="C997" s="273"/>
      <c r="D997" s="273"/>
      <c r="E997" s="273"/>
      <c r="F997" s="273"/>
      <c r="G997" s="273"/>
      <c r="H997" s="273"/>
      <c r="I997" s="273"/>
    </row>
    <row r="998">
      <c r="A998" s="273"/>
      <c r="B998" s="273"/>
      <c r="C998" s="273"/>
      <c r="D998" s="273"/>
      <c r="E998" s="273"/>
      <c r="F998" s="273"/>
      <c r="G998" s="273"/>
      <c r="H998" s="273"/>
      <c r="I998" s="273"/>
    </row>
    <row r="999">
      <c r="A999" s="273"/>
      <c r="B999" s="273"/>
      <c r="C999" s="273"/>
      <c r="D999" s="273"/>
      <c r="E999" s="273"/>
      <c r="F999" s="273"/>
      <c r="G999" s="273"/>
      <c r="H999" s="273"/>
      <c r="I999" s="273"/>
    </row>
    <row r="1000">
      <c r="A1000" s="273"/>
      <c r="B1000" s="273"/>
      <c r="C1000" s="273"/>
      <c r="D1000" s="273"/>
      <c r="E1000" s="273"/>
      <c r="F1000" s="273"/>
      <c r="G1000" s="273"/>
      <c r="H1000" s="273"/>
      <c r="I1000" s="273"/>
    </row>
    <row r="1001">
      <c r="A1001" s="273"/>
      <c r="B1001" s="273"/>
      <c r="C1001" s="273"/>
      <c r="D1001" s="273"/>
      <c r="E1001" s="273"/>
      <c r="F1001" s="273"/>
      <c r="G1001" s="273"/>
      <c r="H1001" s="273"/>
      <c r="I1001" s="273"/>
    </row>
    <row r="1002">
      <c r="A1002" s="273"/>
      <c r="B1002" s="273"/>
      <c r="C1002" s="273"/>
      <c r="D1002" s="273"/>
      <c r="E1002" s="273"/>
      <c r="F1002" s="273"/>
      <c r="G1002" s="273"/>
      <c r="H1002" s="273"/>
      <c r="I1002" s="273"/>
    </row>
    <row r="1003">
      <c r="A1003" s="273"/>
      <c r="B1003" s="273"/>
      <c r="C1003" s="273"/>
      <c r="D1003" s="273"/>
      <c r="E1003" s="273"/>
      <c r="F1003" s="273"/>
      <c r="G1003" s="273"/>
      <c r="H1003" s="273"/>
      <c r="I1003" s="273"/>
    </row>
    <row r="1004">
      <c r="A1004" s="273"/>
      <c r="B1004" s="273"/>
      <c r="C1004" s="273"/>
      <c r="D1004" s="273"/>
      <c r="E1004" s="273"/>
      <c r="F1004" s="273"/>
      <c r="G1004" s="273"/>
      <c r="H1004" s="273"/>
      <c r="I1004" s="273"/>
    </row>
    <row r="1005">
      <c r="A1005" s="273"/>
      <c r="B1005" s="273"/>
      <c r="C1005" s="273"/>
      <c r="D1005" s="273"/>
      <c r="E1005" s="273"/>
      <c r="F1005" s="273"/>
      <c r="G1005" s="273"/>
      <c r="H1005" s="273"/>
      <c r="I1005" s="273"/>
    </row>
    <row r="1006">
      <c r="A1006" s="273"/>
      <c r="B1006" s="273"/>
      <c r="C1006" s="273"/>
      <c r="D1006" s="273"/>
      <c r="E1006" s="273"/>
      <c r="F1006" s="273"/>
      <c r="G1006" s="273"/>
      <c r="H1006" s="273"/>
      <c r="I1006" s="273"/>
    </row>
    <row r="1007">
      <c r="A1007" s="273"/>
      <c r="B1007" s="273"/>
      <c r="C1007" s="273"/>
      <c r="D1007" s="273"/>
      <c r="E1007" s="273"/>
      <c r="F1007" s="273"/>
      <c r="G1007" s="273"/>
      <c r="H1007" s="273"/>
      <c r="I1007" s="273"/>
    </row>
    <row r="1008">
      <c r="A1008" s="273"/>
      <c r="B1008" s="273"/>
      <c r="C1008" s="273"/>
      <c r="D1008" s="273"/>
      <c r="E1008" s="273"/>
      <c r="F1008" s="273"/>
      <c r="G1008" s="273"/>
      <c r="H1008" s="273"/>
      <c r="I1008" s="273"/>
    </row>
    <row r="1009">
      <c r="A1009" s="273"/>
      <c r="B1009" s="273"/>
      <c r="C1009" s="273"/>
      <c r="D1009" s="273"/>
      <c r="E1009" s="273"/>
      <c r="F1009" s="273"/>
      <c r="G1009" s="273"/>
      <c r="H1009" s="273"/>
      <c r="I1009" s="273"/>
    </row>
    <row r="1010">
      <c r="A1010" s="273"/>
      <c r="B1010" s="273"/>
      <c r="C1010" s="273"/>
      <c r="D1010" s="273"/>
      <c r="E1010" s="273"/>
      <c r="F1010" s="273"/>
      <c r="G1010" s="273"/>
      <c r="H1010" s="273"/>
      <c r="I1010" s="273"/>
    </row>
    <row r="1011">
      <c r="A1011" s="273"/>
      <c r="B1011" s="273"/>
      <c r="C1011" s="273"/>
      <c r="D1011" s="273"/>
      <c r="E1011" s="273"/>
      <c r="F1011" s="273"/>
      <c r="G1011" s="273"/>
      <c r="H1011" s="273"/>
      <c r="I1011" s="273"/>
    </row>
    <row r="1012">
      <c r="A1012" s="274"/>
      <c r="B1012" s="274"/>
      <c r="C1012" s="274"/>
      <c r="D1012" s="274"/>
      <c r="E1012" s="274"/>
      <c r="F1012" s="274"/>
      <c r="G1012" s="274"/>
      <c r="H1012" s="274"/>
      <c r="I1012" s="274"/>
    </row>
    <row r="1013">
      <c r="A1013" s="274"/>
      <c r="B1013" s="274"/>
      <c r="C1013" s="274"/>
      <c r="D1013" s="274"/>
      <c r="E1013" s="274"/>
      <c r="F1013" s="274"/>
      <c r="G1013" s="274"/>
      <c r="H1013" s="274"/>
      <c r="I1013" s="274"/>
    </row>
    <row r="1014">
      <c r="A1014" s="274"/>
      <c r="B1014" s="274"/>
      <c r="C1014" s="274"/>
      <c r="D1014" s="274"/>
      <c r="E1014" s="274"/>
      <c r="F1014" s="274"/>
      <c r="G1014" s="274"/>
      <c r="H1014" s="274"/>
      <c r="I1014" s="274"/>
    </row>
    <row r="1015">
      <c r="A1015" s="274"/>
      <c r="B1015" s="274"/>
      <c r="C1015" s="274"/>
      <c r="D1015" s="274"/>
      <c r="E1015" s="274"/>
      <c r="F1015" s="274"/>
      <c r="G1015" s="274"/>
      <c r="H1015" s="274"/>
      <c r="I1015" s="274"/>
    </row>
    <row r="1016">
      <c r="A1016" s="274"/>
      <c r="B1016" s="274"/>
      <c r="C1016" s="274"/>
      <c r="D1016" s="274"/>
      <c r="E1016" s="274"/>
      <c r="F1016" s="274"/>
      <c r="G1016" s="274"/>
      <c r="H1016" s="274"/>
      <c r="I1016" s="274"/>
    </row>
    <row r="1017">
      <c r="A1017" s="274"/>
      <c r="B1017" s="274"/>
      <c r="C1017" s="274"/>
      <c r="D1017" s="274"/>
      <c r="E1017" s="274"/>
      <c r="F1017" s="274"/>
      <c r="G1017" s="274"/>
      <c r="H1017" s="274"/>
      <c r="I1017" s="274"/>
    </row>
    <row r="1018">
      <c r="A1018" s="274"/>
      <c r="B1018" s="274"/>
      <c r="C1018" s="274"/>
      <c r="D1018" s="274"/>
      <c r="E1018" s="274"/>
      <c r="F1018" s="274"/>
      <c r="G1018" s="274"/>
      <c r="H1018" s="274"/>
      <c r="I1018" s="274"/>
    </row>
    <row r="1019">
      <c r="A1019" s="274"/>
      <c r="B1019" s="274"/>
      <c r="C1019" s="274"/>
      <c r="D1019" s="274"/>
      <c r="E1019" s="274"/>
      <c r="F1019" s="274"/>
      <c r="G1019" s="274"/>
      <c r="H1019" s="274"/>
      <c r="I1019" s="274"/>
    </row>
    <row r="1020">
      <c r="A1020" s="274"/>
      <c r="B1020" s="274"/>
      <c r="C1020" s="274"/>
      <c r="D1020" s="274"/>
      <c r="E1020" s="274"/>
      <c r="F1020" s="274"/>
      <c r="G1020" s="274"/>
      <c r="H1020" s="274"/>
      <c r="I1020" s="274"/>
    </row>
    <row r="1021">
      <c r="A1021" s="274"/>
      <c r="B1021" s="274"/>
      <c r="C1021" s="274"/>
      <c r="D1021" s="274"/>
      <c r="E1021" s="274"/>
      <c r="F1021" s="274"/>
      <c r="G1021" s="274"/>
      <c r="H1021" s="274"/>
      <c r="I1021" s="274"/>
    </row>
    <row r="1022">
      <c r="A1022" s="274"/>
      <c r="B1022" s="274"/>
      <c r="C1022" s="274"/>
      <c r="D1022" s="274"/>
      <c r="E1022" s="274"/>
      <c r="F1022" s="274"/>
      <c r="G1022" s="274"/>
      <c r="H1022" s="274"/>
      <c r="I1022" s="274"/>
    </row>
    <row r="1023">
      <c r="A1023" s="274"/>
      <c r="B1023" s="274"/>
      <c r="C1023" s="274"/>
      <c r="D1023" s="274"/>
      <c r="E1023" s="274"/>
      <c r="F1023" s="274"/>
      <c r="G1023" s="274"/>
      <c r="H1023" s="274"/>
      <c r="I1023" s="274"/>
    </row>
    <row r="1024">
      <c r="A1024" s="274"/>
      <c r="B1024" s="274"/>
      <c r="C1024" s="274"/>
      <c r="D1024" s="274"/>
      <c r="E1024" s="274"/>
      <c r="F1024" s="274"/>
      <c r="G1024" s="274"/>
      <c r="H1024" s="274"/>
      <c r="I1024" s="274"/>
    </row>
    <row r="1025">
      <c r="A1025" s="274"/>
      <c r="B1025" s="274"/>
      <c r="C1025" s="274"/>
      <c r="D1025" s="274"/>
      <c r="E1025" s="274"/>
      <c r="F1025" s="274"/>
      <c r="G1025" s="274"/>
      <c r="H1025" s="274"/>
      <c r="I1025" s="274"/>
    </row>
    <row r="1026">
      <c r="A1026" s="274"/>
      <c r="B1026" s="274"/>
      <c r="C1026" s="274"/>
      <c r="D1026" s="274"/>
      <c r="E1026" s="274"/>
      <c r="F1026" s="274"/>
      <c r="G1026" s="274"/>
      <c r="H1026" s="274"/>
      <c r="I1026" s="274"/>
    </row>
  </sheetData>
  <drawing r:id="rId1"/>
</worksheet>
</file>